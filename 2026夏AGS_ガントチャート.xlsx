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1BB737B-424F-40D2-BD84-A19DB46AF0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制作進捗確認表" sheetId="16" r:id="rId1"/>
    <sheet name="進捗確認表_記入例" sheetId="18" r:id="rId2"/>
  </sheets>
  <definedNames>
    <definedName name="タスク_開始" localSheetId="1">#REF!</definedName>
    <definedName name="タスク_開始" localSheetId="0">#REF!</definedName>
    <definedName name="タスク_終了" localSheetId="1">#REF!</definedName>
    <definedName name="タスク_終了" localSheetId="0">#REF!</definedName>
    <definedName name="タスク_進捗状況" localSheetId="1">#REF!</definedName>
    <definedName name="タスク_進捗状況" localSheetId="0">#REF!</definedName>
    <definedName name="プロジェクトの開始" localSheetId="1">#REF!</definedName>
    <definedName name="プロジェクトの開始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8" l="1"/>
  <c r="I7" i="18" s="1"/>
  <c r="J7" i="18" s="1"/>
  <c r="K7" i="18" s="1"/>
  <c r="L7" i="18" s="1"/>
  <c r="H7" i="16"/>
  <c r="H6" i="18" l="1"/>
  <c r="M6" i="18" s="1"/>
  <c r="I7" i="16"/>
  <c r="J7" i="16" s="1"/>
  <c r="K7" i="16" s="1"/>
  <c r="L7" i="16" s="1"/>
  <c r="R6" i="18" l="1"/>
  <c r="M7" i="18"/>
  <c r="N7" i="18" s="1"/>
  <c r="O7" i="18" s="1"/>
  <c r="P7" i="18" s="1"/>
  <c r="Q7" i="18" s="1"/>
  <c r="H6" i="16"/>
  <c r="M6" i="16" s="1"/>
  <c r="R7" i="18" l="1"/>
  <c r="S7" i="18" s="1"/>
  <c r="T7" i="18" s="1"/>
  <c r="U7" i="18" s="1"/>
  <c r="V7" i="18" s="1"/>
  <c r="W6" i="18"/>
  <c r="M7" i="16"/>
  <c r="N7" i="16" s="1"/>
  <c r="O7" i="16" s="1"/>
  <c r="P7" i="16" s="1"/>
  <c r="Q7" i="16" s="1"/>
  <c r="R6" i="16"/>
  <c r="AB6" i="18" l="1"/>
  <c r="W7" i="18"/>
  <c r="X7" i="18" s="1"/>
  <c r="Y7" i="18" s="1"/>
  <c r="Z7" i="18" s="1"/>
  <c r="AA7" i="18" s="1"/>
  <c r="R7" i="16"/>
  <c r="S7" i="16" s="1"/>
  <c r="T7" i="16" s="1"/>
  <c r="U7" i="16" s="1"/>
  <c r="V7" i="16" s="1"/>
  <c r="W6" i="16"/>
  <c r="AB7" i="18" l="1"/>
  <c r="AC7" i="18" s="1"/>
  <c r="AD7" i="18" s="1"/>
  <c r="AE7" i="18" s="1"/>
  <c r="AF7" i="18" s="1"/>
  <c r="AG6" i="18"/>
  <c r="AB6" i="16"/>
  <c r="W7" i="16"/>
  <c r="X7" i="16" s="1"/>
  <c r="Y7" i="16" s="1"/>
  <c r="Z7" i="16" s="1"/>
  <c r="AA7" i="16" s="1"/>
  <c r="AG7" i="18" l="1"/>
  <c r="AH7" i="18" s="1"/>
  <c r="AI7" i="18" s="1"/>
  <c r="AJ7" i="18" s="1"/>
  <c r="AK7" i="18" s="1"/>
  <c r="AL6" i="18"/>
  <c r="AB7" i="16"/>
  <c r="AC7" i="16" s="1"/>
  <c r="AD7" i="16" s="1"/>
  <c r="AE7" i="16" s="1"/>
  <c r="AF7" i="16" s="1"/>
  <c r="AG6" i="16"/>
  <c r="AL7" i="18" l="1"/>
  <c r="AM7" i="18" s="1"/>
  <c r="AN7" i="18" s="1"/>
  <c r="AO7" i="18" s="1"/>
  <c r="AP7" i="18" s="1"/>
  <c r="AQ6" i="18"/>
  <c r="AL6" i="16"/>
  <c r="AG7" i="16"/>
  <c r="AH7" i="16" s="1"/>
  <c r="AI7" i="16" s="1"/>
  <c r="AJ7" i="16" s="1"/>
  <c r="AK7" i="16" s="1"/>
  <c r="AQ7" i="18" l="1"/>
  <c r="AR7" i="18" s="1"/>
  <c r="AS7" i="18" s="1"/>
  <c r="AT7" i="18" s="1"/>
  <c r="AU7" i="18" s="1"/>
  <c r="AV6" i="18"/>
  <c r="AL7" i="16"/>
  <c r="AM7" i="16" s="1"/>
  <c r="AN7" i="16" s="1"/>
  <c r="AO7" i="16" s="1"/>
  <c r="AP7" i="16" s="1"/>
  <c r="AQ6" i="16"/>
  <c r="AV7" i="18" l="1"/>
  <c r="AW7" i="18" s="1"/>
  <c r="AX7" i="18" s="1"/>
  <c r="AY7" i="18" s="1"/>
  <c r="AZ7" i="18" s="1"/>
  <c r="BA6" i="18"/>
  <c r="AQ7" i="16"/>
  <c r="AR7" i="16" s="1"/>
  <c r="AS7" i="16" s="1"/>
  <c r="AT7" i="16" s="1"/>
  <c r="AU7" i="16" s="1"/>
  <c r="AV6" i="16"/>
  <c r="BF6" i="18" l="1"/>
  <c r="BA7" i="18"/>
  <c r="BB7" i="18" s="1"/>
  <c r="BC7" i="18" s="1"/>
  <c r="BD7" i="18" s="1"/>
  <c r="BE7" i="18" s="1"/>
  <c r="BA6" i="16"/>
  <c r="AV7" i="16"/>
  <c r="AW7" i="16" s="1"/>
  <c r="AX7" i="16" s="1"/>
  <c r="AY7" i="16" s="1"/>
  <c r="AZ7" i="16" s="1"/>
  <c r="BF7" i="18" l="1"/>
  <c r="BG7" i="18" s="1"/>
  <c r="BH7" i="18" s="1"/>
  <c r="BI7" i="18" s="1"/>
  <c r="BJ7" i="18" s="1"/>
  <c r="BK6" i="18"/>
  <c r="BF6" i="16"/>
  <c r="BA7" i="16"/>
  <c r="BB7" i="16" s="1"/>
  <c r="BC7" i="16" s="1"/>
  <c r="BD7" i="16" s="1"/>
  <c r="BE7" i="16" s="1"/>
  <c r="BK7" i="18" l="1"/>
  <c r="BL7" i="18" s="1"/>
  <c r="BM7" i="18" s="1"/>
  <c r="BN7" i="18" s="1"/>
  <c r="BO7" i="18" s="1"/>
  <c r="BP6" i="18"/>
  <c r="BF7" i="16"/>
  <c r="BG7" i="16" s="1"/>
  <c r="BH7" i="16" s="1"/>
  <c r="BI7" i="16" s="1"/>
  <c r="BJ7" i="16" s="1"/>
  <c r="BK6" i="16"/>
  <c r="BP7" i="18" l="1"/>
  <c r="BQ7" i="18" s="1"/>
  <c r="BR7" i="18" s="1"/>
  <c r="BS7" i="18" s="1"/>
  <c r="BT7" i="18" s="1"/>
  <c r="BU6" i="18"/>
  <c r="BP6" i="16"/>
  <c r="BK7" i="16"/>
  <c r="BL7" i="16" s="1"/>
  <c r="BM7" i="16" s="1"/>
  <c r="BN7" i="16" s="1"/>
  <c r="BO7" i="16" s="1"/>
  <c r="BU7" i="18" l="1"/>
  <c r="BV7" i="18" s="1"/>
  <c r="BW7" i="18" s="1"/>
  <c r="BX7" i="18" s="1"/>
  <c r="BY7" i="18" s="1"/>
  <c r="BZ6" i="18"/>
  <c r="BP7" i="16"/>
  <c r="BQ7" i="16" s="1"/>
  <c r="BR7" i="16" s="1"/>
  <c r="BS7" i="16" s="1"/>
  <c r="BT7" i="16" s="1"/>
  <c r="BU6" i="16"/>
  <c r="CE6" i="18" l="1"/>
  <c r="BZ7" i="18"/>
  <c r="CA7" i="18" s="1"/>
  <c r="CB7" i="18" s="1"/>
  <c r="CC7" i="18" s="1"/>
  <c r="CD7" i="18" s="1"/>
  <c r="BU7" i="16"/>
  <c r="BV7" i="16" s="1"/>
  <c r="BW7" i="16" s="1"/>
  <c r="BX7" i="16" s="1"/>
  <c r="BY7" i="16" s="1"/>
  <c r="BZ6" i="16"/>
  <c r="CE7" i="18" l="1"/>
  <c r="CF7" i="18" s="1"/>
  <c r="CG7" i="18" s="1"/>
  <c r="CH7" i="18" s="1"/>
  <c r="CI7" i="18" s="1"/>
  <c r="CJ6" i="18"/>
  <c r="CJ7" i="18" s="1"/>
  <c r="CK7" i="18" s="1"/>
  <c r="CL7" i="18" s="1"/>
  <c r="CM7" i="18" s="1"/>
  <c r="CN7" i="18" s="1"/>
  <c r="BZ7" i="16"/>
  <c r="CA7" i="16" s="1"/>
  <c r="CB7" i="16" s="1"/>
  <c r="CC7" i="16" s="1"/>
  <c r="CD7" i="16" s="1"/>
  <c r="CE6" i="16"/>
  <c r="CE7" i="16" l="1"/>
  <c r="CF7" i="16" s="1"/>
  <c r="CG7" i="16" s="1"/>
  <c r="CH7" i="16" s="1"/>
  <c r="CI7" i="16" s="1"/>
  <c r="CJ6" i="16"/>
  <c r="CJ7" i="16" s="1"/>
  <c r="CK7" i="16" s="1"/>
  <c r="CL7" i="16" s="1"/>
  <c r="CM7" i="16" s="1"/>
  <c r="CN7" i="16" s="1"/>
</calcChain>
</file>

<file path=xl/sharedStrings.xml><?xml version="1.0" encoding="utf-8"?>
<sst xmlns="http://schemas.openxmlformats.org/spreadsheetml/2006/main" count="242" uniqueCount="51">
  <si>
    <t>企画制作　進捗管理表</t>
    <phoneticPr fontId="19"/>
  </si>
  <si>
    <t xml:space="preserve"> 制作開始日:</t>
    <phoneticPr fontId="19"/>
  </si>
  <si>
    <t>予定</t>
    <rPh sb="0" eb="2">
      <t>ヨテイ</t>
    </rPh>
    <phoneticPr fontId="19"/>
  </si>
  <si>
    <t>実績</t>
    <rPh sb="0" eb="2">
      <t>ジッセキ</t>
    </rPh>
    <phoneticPr fontId="19"/>
  </si>
  <si>
    <t>タスク名</t>
    <rPh sb="3" eb="4">
      <t>メイ</t>
    </rPh>
    <phoneticPr fontId="19"/>
  </si>
  <si>
    <t>担当者</t>
  </si>
  <si>
    <t>進捗(%)</t>
    <phoneticPr fontId="19"/>
  </si>
  <si>
    <t>開始日</t>
    <rPh sb="2" eb="3">
      <t>ビ</t>
    </rPh>
    <phoneticPr fontId="19"/>
  </si>
  <si>
    <t>終了日</t>
    <rPh sb="2" eb="3">
      <t>テイジツ</t>
    </rPh>
    <phoneticPr fontId="19"/>
  </si>
  <si>
    <t>月</t>
    <rPh sb="0" eb="1">
      <t>ゲツ</t>
    </rPh>
    <phoneticPr fontId="19"/>
  </si>
  <si>
    <t>火</t>
    <rPh sb="0" eb="1">
      <t>カ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</si>
  <si>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</si>
  <si>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</si>
  <si>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</si>
  <si>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※ 各作業で行が不足する場合は、既存の行をコピーして挿入してください。</t>
    <rPh sb="2" eb="3">
      <t>カク</t>
    </rPh>
    <rPh sb="3" eb="5">
      <t>サギョウ</t>
    </rPh>
    <rPh sb="6" eb="7">
      <t>ギョウ</t>
    </rPh>
    <rPh sb="8" eb="10">
      <t>フソク</t>
    </rPh>
    <rPh sb="12" eb="14">
      <t>バアイ</t>
    </rPh>
    <rPh sb="16" eb="18">
      <t>キゾン</t>
    </rPh>
    <rPh sb="19" eb="20">
      <t>ギョウ</t>
    </rPh>
    <phoneticPr fontId="19"/>
  </si>
  <si>
    <t>チーム名：我々には後が無い。。。</t>
    <rPh sb="3" eb="4">
      <t>メイ</t>
    </rPh>
    <rPh sb="5" eb="7">
      <t>ワレワレ</t>
    </rPh>
    <rPh sb="9" eb="10">
      <t>アト</t>
    </rPh>
    <rPh sb="11" eb="12">
      <t>ナ</t>
    </rPh>
    <phoneticPr fontId="19"/>
  </si>
  <si>
    <t>リーダー：葉薬　史郎</t>
    <rPh sb="5" eb="6">
      <t>ハ</t>
    </rPh>
    <rPh sb="6" eb="7">
      <t>ヤク</t>
    </rPh>
    <rPh sb="8" eb="10">
      <t>シロウ</t>
    </rPh>
    <phoneticPr fontId="19"/>
  </si>
  <si>
    <t>メンバー：今　矢留男、五月　尾和太</t>
    <rPh sb="5" eb="6">
      <t>イマ</t>
    </rPh>
    <rPh sb="7" eb="8">
      <t>ヤ</t>
    </rPh>
    <rPh sb="8" eb="9">
      <t>ル</t>
    </rPh>
    <rPh sb="9" eb="10">
      <t>オ</t>
    </rPh>
    <rPh sb="11" eb="13">
      <t>サツキ</t>
    </rPh>
    <rPh sb="14" eb="15">
      <t>オ</t>
    </rPh>
    <rPh sb="15" eb="16">
      <t>ワ</t>
    </rPh>
    <rPh sb="16" eb="17">
      <t>フト</t>
    </rPh>
    <phoneticPr fontId="19"/>
  </si>
  <si>
    <t>プレイヤーキャラクター</t>
  </si>
  <si>
    <t>全員</t>
    <rPh sb="0" eb="2">
      <t>ゼンイン</t>
    </rPh>
    <phoneticPr fontId="19"/>
  </si>
  <si>
    <t>移動</t>
  </si>
  <si>
    <t>全員</t>
  </si>
  <si>
    <t>アクション_ジャンプ</t>
  </si>
  <si>
    <t>今、五月</t>
    <rPh sb="0" eb="1">
      <t>イマ</t>
    </rPh>
    <rPh sb="2" eb="4">
      <t>サツキ</t>
    </rPh>
    <phoneticPr fontId="19"/>
  </si>
  <si>
    <t>アクション_二段ジャンプ</t>
  </si>
  <si>
    <t>葉薬、今</t>
    <rPh sb="0" eb="1">
      <t>ハ</t>
    </rPh>
    <rPh sb="1" eb="2">
      <t>クスリ</t>
    </rPh>
    <rPh sb="3" eb="4">
      <t>イマ</t>
    </rPh>
    <phoneticPr fontId="19"/>
  </si>
  <si>
    <t>ダメージ</t>
  </si>
  <si>
    <t>グラフィック</t>
  </si>
  <si>
    <t>作業名称２</t>
    <rPh sb="0" eb="2">
      <t>サギョウ</t>
    </rPh>
    <rPh sb="2" eb="4">
      <t>メイショウ</t>
    </rPh>
    <phoneticPr fontId="19"/>
  </si>
  <si>
    <t>タスク名１</t>
    <rPh sb="3" eb="4">
      <t>メイ</t>
    </rPh>
    <phoneticPr fontId="19"/>
  </si>
  <si>
    <t>タスク名２</t>
    <rPh sb="3" eb="4">
      <t>メイ</t>
    </rPh>
    <phoneticPr fontId="19"/>
  </si>
  <si>
    <t>タスク名３</t>
    <rPh sb="3" eb="4">
      <t>メイ</t>
    </rPh>
    <phoneticPr fontId="19"/>
  </si>
  <si>
    <t>タスク名４</t>
    <rPh sb="3" eb="4">
      <t>メイ</t>
    </rPh>
    <phoneticPr fontId="19"/>
  </si>
  <si>
    <t>タスク名５(6以上は行を挿入)</t>
    <rPh sb="3" eb="4">
      <t>メイ</t>
    </rPh>
    <phoneticPr fontId="19"/>
  </si>
  <si>
    <t>作業名称３</t>
    <rPh sb="0" eb="2">
      <t>サギョウ</t>
    </rPh>
    <rPh sb="2" eb="4">
      <t>メイショウ</t>
    </rPh>
    <phoneticPr fontId="19"/>
  </si>
  <si>
    <t>作業名称４</t>
    <rPh sb="0" eb="2">
      <t>サギョウ</t>
    </rPh>
    <rPh sb="2" eb="4">
      <t>メイショウ</t>
    </rPh>
    <phoneticPr fontId="19"/>
  </si>
  <si>
    <t>チーム名：ジェネリック熊埜御堂</t>
    <rPh sb="11" eb="15">
      <t>クマノミドウ</t>
    </rPh>
    <phoneticPr fontId="19"/>
  </si>
  <si>
    <t>リーダー：長﨑柊磨</t>
    <rPh sb="5" eb="9">
      <t>ナガサキヒイラギマ</t>
    </rPh>
    <phoneticPr fontId="19"/>
  </si>
  <si>
    <t>メンバー：柳　伊吹　山崎祐斗</t>
    <rPh sb="5" eb="6">
      <t>ヤナギ</t>
    </rPh>
    <rPh sb="7" eb="9">
      <t>イブキ</t>
    </rPh>
    <rPh sb="10" eb="12">
      <t>ヤマサキ</t>
    </rPh>
    <rPh sb="12" eb="13">
      <t>ユウ</t>
    </rPh>
    <rPh sb="13" eb="14">
      <t>ト</t>
    </rPh>
    <phoneticPr fontId="19"/>
  </si>
  <si>
    <t>プレイヤー</t>
    <phoneticPr fontId="19"/>
  </si>
  <si>
    <t>シーン遷移</t>
    <rPh sb="3" eb="5">
      <t>センイ</t>
    </rPh>
    <phoneticPr fontId="19"/>
  </si>
  <si>
    <t>マップ</t>
    <phoneticPr fontId="19"/>
  </si>
  <si>
    <t>オンラインプレイ</t>
    <phoneticPr fontId="19"/>
  </si>
  <si>
    <t>ミニゲーム</t>
    <phoneticPr fontId="19"/>
  </si>
  <si>
    <t>当たり判定</t>
    <rPh sb="0" eb="1">
      <t>ア</t>
    </rPh>
    <rPh sb="3" eb="5">
      <t>ハンテイ</t>
    </rPh>
    <phoneticPr fontId="19"/>
  </si>
  <si>
    <t>鬼ごっこ</t>
    <rPh sb="0" eb="1">
      <t>オニ</t>
    </rPh>
    <phoneticPr fontId="19"/>
  </si>
  <si>
    <t>チャンバラ</t>
    <phoneticPr fontId="19"/>
  </si>
  <si>
    <t>描画処理</t>
    <rPh sb="0" eb="4">
      <t>ビョウガショリ</t>
    </rPh>
    <phoneticPr fontId="19"/>
  </si>
  <si>
    <t>タイトル</t>
    <phoneticPr fontId="19"/>
  </si>
  <si>
    <t>ゲーム</t>
    <phoneticPr fontId="19"/>
  </si>
  <si>
    <t>ゲーム終了</t>
    <rPh sb="3" eb="5">
      <t>シュウリョウ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</si>
</sst>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  <numFmt numFmtId="182" formatCode="yyyy/m/d\ \,\ aaa"/>
    <numFmt numFmtId="183" formatCode="yyyy&quot;年&quot;m&quot;月&quot;d&quot;日&quot;\ \ \ &quot;(&quot;aaa&quot;)&quot;"/>
  </numFmts>
  <fonts count="29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0"/>
      <name val="メイリオ"/>
      <family val="3"/>
      <charset val="128"/>
    </font>
  </fonts>
  <fills count="4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3" fillId="8" borderId="0" applyNumberFormat="0" applyBorder="0" applyAlignment="0" applyProtection="0"/>
    <xf numFmtId="0" fontId="14" fillId="9" borderId="0" applyNumberFormat="0" applyBorder="0" applyAlignment="0" applyProtection="0"/>
    <xf numFmtId="0" fontId="12" fillId="10" borderId="3" applyNumberFormat="0" applyAlignment="0" applyProtection="0"/>
    <xf numFmtId="0" fontId="15" fillId="11" borderId="4" applyNumberFormat="0" applyAlignment="0" applyProtection="0"/>
    <xf numFmtId="0" fontId="4" fillId="11" borderId="3" applyNumberFormat="0" applyAlignment="0" applyProtection="0"/>
    <xf numFmtId="0" fontId="13" fillId="0" borderId="5" applyNumberFormat="0" applyFill="0" applyAlignment="0" applyProtection="0"/>
    <xf numFmtId="0" fontId="5" fillId="12" borderId="6" applyNumberFormat="0" applyAlignment="0" applyProtection="0"/>
    <xf numFmtId="0" fontId="18" fillId="0" borderId="0" applyNumberFormat="0" applyFill="0" applyBorder="0" applyAlignment="0" applyProtection="0"/>
    <xf numFmtId="0" fontId="1" fillId="13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21">
    <xf numFmtId="0" fontId="0" fillId="0" borderId="0" xfId="0"/>
    <xf numFmtId="0" fontId="22" fillId="39" borderId="9" xfId="0" applyFont="1" applyFill="1" applyBorder="1"/>
    <xf numFmtId="0" fontId="20" fillId="39" borderId="9" xfId="0" applyFont="1" applyFill="1" applyBorder="1"/>
    <xf numFmtId="0" fontId="20" fillId="38" borderId="9" xfId="0" applyFont="1" applyFill="1" applyBorder="1" applyAlignment="1">
      <alignment horizontal="left" indent="1"/>
    </xf>
    <xf numFmtId="0" fontId="20" fillId="38" borderId="9" xfId="0" applyFont="1" applyFill="1" applyBorder="1"/>
    <xf numFmtId="0" fontId="20" fillId="39" borderId="11" xfId="0" applyFont="1" applyFill="1" applyBorder="1"/>
    <xf numFmtId="0" fontId="20" fillId="38" borderId="10" xfId="0" applyFont="1" applyFill="1" applyBorder="1"/>
    <xf numFmtId="0" fontId="20" fillId="38" borderId="11" xfId="0" applyFont="1" applyFill="1" applyBorder="1"/>
    <xf numFmtId="181" fontId="20" fillId="39" borderId="9" xfId="0" applyNumberFormat="1" applyFont="1" applyFill="1" applyBorder="1"/>
    <xf numFmtId="181" fontId="20" fillId="38" borderId="9" xfId="0" applyNumberFormat="1" applyFont="1" applyFill="1" applyBorder="1"/>
    <xf numFmtId="0" fontId="20" fillId="42" borderId="11" xfId="0" applyFont="1" applyFill="1" applyBorder="1"/>
    <xf numFmtId="0" fontId="20" fillId="43" borderId="11" xfId="0" applyFont="1" applyFill="1" applyBorder="1"/>
    <xf numFmtId="0" fontId="20" fillId="39" borderId="9" xfId="0" applyFont="1" applyFill="1" applyBorder="1" applyAlignment="1">
      <alignment horizontal="center"/>
    </xf>
    <xf numFmtId="0" fontId="20" fillId="38" borderId="9" xfId="0" applyFont="1" applyFill="1" applyBorder="1" applyAlignment="1">
      <alignment horizontal="center"/>
    </xf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2" fillId="39" borderId="9" xfId="0" applyFont="1" applyFill="1" applyBorder="1" applyAlignment="1" applyProtection="1">
      <alignment shrinkToFit="1"/>
      <protection locked="0"/>
    </xf>
    <xf numFmtId="0" fontId="20" fillId="39" borderId="9" xfId="0" applyFont="1" applyFill="1" applyBorder="1" applyProtection="1">
      <protection locked="0"/>
    </xf>
    <xf numFmtId="0" fontId="20" fillId="39" borderId="9" xfId="0" applyFont="1" applyFill="1" applyBorder="1" applyAlignment="1" applyProtection="1">
      <alignment horizontal="center"/>
      <protection locked="0"/>
    </xf>
    <xf numFmtId="181" fontId="20" fillId="39" borderId="9" xfId="0" applyNumberFormat="1" applyFont="1" applyFill="1" applyBorder="1" applyProtection="1">
      <protection locked="0"/>
    </xf>
    <xf numFmtId="180" fontId="21" fillId="39" borderId="10" xfId="0" applyNumberFormat="1" applyFont="1" applyFill="1" applyBorder="1" applyAlignment="1" applyProtection="1">
      <alignment horizontal="center"/>
      <protection locked="0"/>
    </xf>
    <xf numFmtId="0" fontId="20" fillId="39" borderId="11" xfId="0" applyFont="1" applyFill="1" applyBorder="1" applyProtection="1">
      <protection locked="0"/>
    </xf>
    <xf numFmtId="0" fontId="20" fillId="39" borderId="12" xfId="0" applyFont="1" applyFill="1" applyBorder="1" applyProtection="1">
      <protection locked="0"/>
    </xf>
    <xf numFmtId="0" fontId="20" fillId="38" borderId="9" xfId="0" applyFont="1" applyFill="1" applyBorder="1" applyProtection="1">
      <protection locked="0"/>
    </xf>
    <xf numFmtId="0" fontId="20" fillId="38" borderId="9" xfId="0" applyFont="1" applyFill="1" applyBorder="1" applyAlignment="1" applyProtection="1">
      <alignment horizontal="center"/>
      <protection locked="0"/>
    </xf>
    <xf numFmtId="181" fontId="20" fillId="38" borderId="9" xfId="0" applyNumberFormat="1" applyFont="1" applyFill="1" applyBorder="1" applyProtection="1">
      <protection locked="0"/>
    </xf>
    <xf numFmtId="0" fontId="20" fillId="38" borderId="10" xfId="0" applyFont="1" applyFill="1" applyBorder="1" applyProtection="1">
      <protection locked="0"/>
    </xf>
    <xf numFmtId="0" fontId="20" fillId="38" borderId="11" xfId="0" applyFont="1" applyFill="1" applyBorder="1" applyProtection="1">
      <protection locked="0"/>
    </xf>
    <xf numFmtId="0" fontId="20" fillId="38" borderId="12" xfId="0" applyFont="1" applyFill="1" applyBorder="1" applyProtection="1">
      <protection locked="0"/>
    </xf>
    <xf numFmtId="0" fontId="22" fillId="4" borderId="9" xfId="0" applyFont="1" applyFill="1" applyBorder="1" applyAlignment="1" applyProtection="1">
      <alignment shrinkToFit="1"/>
      <protection locked="0"/>
    </xf>
    <xf numFmtId="0" fontId="20" fillId="4" borderId="9" xfId="0" applyFont="1" applyFill="1" applyBorder="1" applyProtection="1">
      <protection locked="0"/>
    </xf>
    <xf numFmtId="0" fontId="20" fillId="4" borderId="9" xfId="0" applyFont="1" applyFill="1" applyBorder="1" applyAlignment="1" applyProtection="1">
      <alignment horizontal="center"/>
      <protection locked="0"/>
    </xf>
    <xf numFmtId="181" fontId="20" fillId="4" borderId="9" xfId="0" applyNumberFormat="1" applyFont="1" applyFill="1" applyBorder="1" applyProtection="1">
      <protection locked="0"/>
    </xf>
    <xf numFmtId="0" fontId="20" fillId="4" borderId="10" xfId="0" applyFont="1" applyFill="1" applyBorder="1" applyProtection="1">
      <protection locked="0"/>
    </xf>
    <xf numFmtId="0" fontId="20" fillId="4" borderId="11" xfId="0" applyFont="1" applyFill="1" applyBorder="1" applyProtection="1">
      <protection locked="0"/>
    </xf>
    <xf numFmtId="0" fontId="20" fillId="4" borderId="12" xfId="0" applyFont="1" applyFill="1" applyBorder="1" applyProtection="1">
      <protection locked="0"/>
    </xf>
    <xf numFmtId="0" fontId="20" fillId="2" borderId="9" xfId="0" applyFont="1" applyFill="1" applyBorder="1" applyProtection="1">
      <protection locked="0"/>
    </xf>
    <xf numFmtId="0" fontId="20" fillId="2" borderId="9" xfId="0" applyFont="1" applyFill="1" applyBorder="1" applyAlignment="1" applyProtection="1">
      <alignment horizontal="center"/>
      <protection locked="0"/>
    </xf>
    <xf numFmtId="181" fontId="20" fillId="2" borderId="9" xfId="0" applyNumberFormat="1" applyFont="1" applyFill="1" applyBorder="1" applyProtection="1">
      <protection locked="0"/>
    </xf>
    <xf numFmtId="0" fontId="20" fillId="2" borderId="10" xfId="0" applyFont="1" applyFill="1" applyBorder="1" applyProtection="1">
      <protection locked="0"/>
    </xf>
    <xf numFmtId="0" fontId="20" fillId="2" borderId="11" xfId="0" applyFont="1" applyFill="1" applyBorder="1" applyProtection="1">
      <protection locked="0"/>
    </xf>
    <xf numFmtId="0" fontId="20" fillId="2" borderId="12" xfId="0" applyFont="1" applyFill="1" applyBorder="1" applyProtection="1">
      <protection locked="0"/>
    </xf>
    <xf numFmtId="0" fontId="22" fillId="3" borderId="9" xfId="0" applyFont="1" applyFill="1" applyBorder="1" applyAlignment="1" applyProtection="1">
      <alignment shrinkToFit="1"/>
      <protection locked="0"/>
    </xf>
    <xf numFmtId="0" fontId="20" fillId="3" borderId="9" xfId="0" applyFont="1" applyFill="1" applyBorder="1" applyProtection="1">
      <protection locked="0"/>
    </xf>
    <xf numFmtId="0" fontId="20" fillId="3" borderId="9" xfId="0" applyFont="1" applyFill="1" applyBorder="1" applyAlignment="1" applyProtection="1">
      <alignment horizontal="center"/>
      <protection locked="0"/>
    </xf>
    <xf numFmtId="181" fontId="20" fillId="3" borderId="9" xfId="0" applyNumberFormat="1" applyFont="1" applyFill="1" applyBorder="1" applyProtection="1">
      <protection locked="0"/>
    </xf>
    <xf numFmtId="0" fontId="20" fillId="3" borderId="10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20" fillId="3" borderId="12" xfId="0" applyFont="1" applyFill="1" applyBorder="1" applyProtection="1">
      <protection locked="0"/>
    </xf>
    <xf numFmtId="0" fontId="20" fillId="6" borderId="9" xfId="0" applyFont="1" applyFill="1" applyBorder="1" applyProtection="1"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181" fontId="20" fillId="6" borderId="9" xfId="0" applyNumberFormat="1" applyFont="1" applyFill="1" applyBorder="1" applyProtection="1">
      <protection locked="0"/>
    </xf>
    <xf numFmtId="0" fontId="20" fillId="6" borderId="10" xfId="0" applyFont="1" applyFill="1" applyBorder="1" applyProtection="1">
      <protection locked="0"/>
    </xf>
    <xf numFmtId="0" fontId="20" fillId="6" borderId="11" xfId="0" applyFont="1" applyFill="1" applyBorder="1" applyProtection="1">
      <protection locked="0"/>
    </xf>
    <xf numFmtId="0" fontId="20" fillId="6" borderId="12" xfId="0" applyFont="1" applyFill="1" applyBorder="1" applyProtection="1">
      <protection locked="0"/>
    </xf>
    <xf numFmtId="0" fontId="22" fillId="40" borderId="9" xfId="0" applyFont="1" applyFill="1" applyBorder="1" applyAlignment="1" applyProtection="1">
      <alignment shrinkToFit="1"/>
      <protection locked="0"/>
    </xf>
    <xf numFmtId="0" fontId="20" fillId="40" borderId="9" xfId="0" applyFont="1" applyFill="1" applyBorder="1" applyProtection="1">
      <protection locked="0"/>
    </xf>
    <xf numFmtId="0" fontId="20" fillId="40" borderId="9" xfId="0" applyFont="1" applyFill="1" applyBorder="1" applyAlignment="1" applyProtection="1">
      <alignment horizontal="center"/>
      <protection locked="0"/>
    </xf>
    <xf numFmtId="181" fontId="20" fillId="40" borderId="9" xfId="0" applyNumberFormat="1" applyFont="1" applyFill="1" applyBorder="1" applyProtection="1">
      <protection locked="0"/>
    </xf>
    <xf numFmtId="0" fontId="20" fillId="40" borderId="10" xfId="0" applyFont="1" applyFill="1" applyBorder="1" applyProtection="1">
      <protection locked="0"/>
    </xf>
    <xf numFmtId="0" fontId="20" fillId="40" borderId="11" xfId="0" applyFont="1" applyFill="1" applyBorder="1" applyProtection="1">
      <protection locked="0"/>
    </xf>
    <xf numFmtId="0" fontId="20" fillId="40" borderId="12" xfId="0" applyFont="1" applyFill="1" applyBorder="1" applyProtection="1">
      <protection locked="0"/>
    </xf>
    <xf numFmtId="0" fontId="20" fillId="41" borderId="9" xfId="0" applyFont="1" applyFill="1" applyBorder="1" applyProtection="1">
      <protection locked="0"/>
    </xf>
    <xf numFmtId="0" fontId="20" fillId="41" borderId="9" xfId="0" applyFont="1" applyFill="1" applyBorder="1" applyAlignment="1" applyProtection="1">
      <alignment horizontal="center"/>
      <protection locked="0"/>
    </xf>
    <xf numFmtId="181" fontId="20" fillId="41" borderId="9" xfId="0" applyNumberFormat="1" applyFont="1" applyFill="1" applyBorder="1" applyProtection="1">
      <protection locked="0"/>
    </xf>
    <xf numFmtId="0" fontId="20" fillId="41" borderId="10" xfId="0" applyFont="1" applyFill="1" applyBorder="1" applyProtection="1">
      <protection locked="0"/>
    </xf>
    <xf numFmtId="0" fontId="20" fillId="41" borderId="11" xfId="0" applyFont="1" applyFill="1" applyBorder="1" applyProtection="1">
      <protection locked="0"/>
    </xf>
    <xf numFmtId="0" fontId="20" fillId="41" borderId="12" xfId="0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20" fillId="5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0" fillId="38" borderId="9" xfId="0" applyFont="1" applyFill="1" applyBorder="1" applyAlignment="1" applyProtection="1">
      <alignment horizontal="left" indent="1" shrinkToFit="1"/>
      <protection locked="0"/>
    </xf>
    <xf numFmtId="0" fontId="20" fillId="2" borderId="9" xfId="0" applyFont="1" applyFill="1" applyBorder="1" applyAlignment="1" applyProtection="1">
      <alignment horizontal="left" indent="1" shrinkToFit="1"/>
      <protection locked="0"/>
    </xf>
    <xf numFmtId="0" fontId="20" fillId="6" borderId="9" xfId="0" applyFont="1" applyFill="1" applyBorder="1" applyAlignment="1" applyProtection="1">
      <alignment horizontal="left" indent="1" shrinkToFit="1"/>
      <protection locked="0"/>
    </xf>
    <xf numFmtId="0" fontId="20" fillId="41" borderId="9" xfId="0" applyFont="1" applyFill="1" applyBorder="1" applyAlignment="1" applyProtection="1">
      <alignment horizontal="left" indent="1" shrinkToFit="1"/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80" fontId="21" fillId="0" borderId="9" xfId="0" applyNumberFormat="1" applyFont="1" applyBorder="1" applyAlignment="1">
      <alignment horizontal="center"/>
    </xf>
    <xf numFmtId="180" fontId="23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5" fillId="0" borderId="0" xfId="0" applyFont="1" applyAlignment="1" applyProtection="1">
      <alignment vertical="top"/>
      <protection locked="0"/>
    </xf>
    <xf numFmtId="0" fontId="26" fillId="0" borderId="0" xfId="0" applyFont="1" applyAlignment="1">
      <alignment horizontal="right" vertical="center"/>
    </xf>
    <xf numFmtId="0" fontId="25" fillId="0" borderId="0" xfId="0" applyFont="1" applyAlignment="1">
      <alignment vertical="top"/>
    </xf>
    <xf numFmtId="0" fontId="22" fillId="5" borderId="0" xfId="0" applyFont="1" applyFill="1"/>
    <xf numFmtId="0" fontId="22" fillId="44" borderId="9" xfId="0" applyFont="1" applyFill="1" applyBorder="1" applyAlignment="1" applyProtection="1">
      <alignment shrinkToFit="1"/>
      <protection locked="0"/>
    </xf>
    <xf numFmtId="0" fontId="20" fillId="44" borderId="9" xfId="0" applyFont="1" applyFill="1" applyBorder="1" applyProtection="1">
      <protection locked="0"/>
    </xf>
    <xf numFmtId="0" fontId="20" fillId="44" borderId="9" xfId="0" applyFont="1" applyFill="1" applyBorder="1" applyAlignment="1" applyProtection="1">
      <alignment horizontal="center"/>
      <protection locked="0"/>
    </xf>
    <xf numFmtId="181" fontId="20" fillId="44" borderId="9" xfId="0" applyNumberFormat="1" applyFont="1" applyFill="1" applyBorder="1" applyProtection="1">
      <protection locked="0"/>
    </xf>
    <xf numFmtId="0" fontId="20" fillId="44" borderId="10" xfId="0" applyFont="1" applyFill="1" applyBorder="1" applyProtection="1">
      <protection locked="0"/>
    </xf>
    <xf numFmtId="0" fontId="20" fillId="44" borderId="11" xfId="0" applyFont="1" applyFill="1" applyBorder="1" applyProtection="1">
      <protection locked="0"/>
    </xf>
    <xf numFmtId="0" fontId="20" fillId="44" borderId="12" xfId="0" applyFont="1" applyFill="1" applyBorder="1" applyProtection="1">
      <protection locked="0"/>
    </xf>
    <xf numFmtId="0" fontId="20" fillId="45" borderId="9" xfId="0" applyFont="1" applyFill="1" applyBorder="1" applyAlignment="1" applyProtection="1">
      <alignment horizontal="left" indent="1" shrinkToFit="1"/>
      <protection locked="0"/>
    </xf>
    <xf numFmtId="0" fontId="20" fillId="45" borderId="9" xfId="0" applyFont="1" applyFill="1" applyBorder="1" applyProtection="1">
      <protection locked="0"/>
    </xf>
    <xf numFmtId="0" fontId="20" fillId="45" borderId="9" xfId="0" applyFont="1" applyFill="1" applyBorder="1" applyAlignment="1" applyProtection="1">
      <alignment horizontal="center"/>
      <protection locked="0"/>
    </xf>
    <xf numFmtId="181" fontId="20" fillId="45" borderId="9" xfId="0" applyNumberFormat="1" applyFont="1" applyFill="1" applyBorder="1" applyProtection="1">
      <protection locked="0"/>
    </xf>
    <xf numFmtId="0" fontId="20" fillId="45" borderId="10" xfId="0" applyFont="1" applyFill="1" applyBorder="1" applyProtection="1">
      <protection locked="0"/>
    </xf>
    <xf numFmtId="0" fontId="20" fillId="45" borderId="11" xfId="0" applyFont="1" applyFill="1" applyBorder="1" applyProtection="1">
      <protection locked="0"/>
    </xf>
    <xf numFmtId="0" fontId="20" fillId="45" borderId="12" xfId="0" applyFont="1" applyFill="1" applyBorder="1" applyProtection="1"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180" fontId="21" fillId="43" borderId="10" xfId="0" applyNumberFormat="1" applyFont="1" applyFill="1" applyBorder="1" applyAlignment="1">
      <alignment horizontal="center"/>
    </xf>
    <xf numFmtId="0" fontId="20" fillId="46" borderId="11" xfId="0" applyFont="1" applyFill="1" applyBorder="1"/>
    <xf numFmtId="0" fontId="20" fillId="43" borderId="10" xfId="0" applyFont="1" applyFill="1" applyBorder="1"/>
    <xf numFmtId="180" fontId="28" fillId="0" borderId="9" xfId="0" applyNumberFormat="1" applyFont="1" applyBorder="1" applyAlignment="1">
      <alignment horizontal="center"/>
    </xf>
    <xf numFmtId="9" fontId="20" fillId="38" borderId="9" xfId="0" applyNumberFormat="1" applyFont="1" applyFill="1" applyBorder="1" applyAlignment="1" applyProtection="1">
      <alignment horizontal="center"/>
      <protection locked="0"/>
    </xf>
    <xf numFmtId="9" fontId="20" fillId="41" borderId="9" xfId="0" applyNumberFormat="1" applyFont="1" applyFill="1" applyBorder="1" applyAlignment="1" applyProtection="1">
      <alignment horizontal="center"/>
      <protection locked="0"/>
    </xf>
    <xf numFmtId="9" fontId="20" fillId="2" borderId="9" xfId="0" applyNumberFormat="1" applyFont="1" applyFill="1" applyBorder="1" applyAlignment="1" applyProtection="1">
      <alignment horizontal="center"/>
      <protection locked="0"/>
    </xf>
    <xf numFmtId="9" fontId="20" fillId="6" borderId="9" xfId="0" applyNumberFormat="1" applyFont="1" applyFill="1" applyBorder="1" applyAlignment="1" applyProtection="1">
      <alignment horizontal="center"/>
      <protection locked="0"/>
    </xf>
    <xf numFmtId="14" fontId="20" fillId="0" borderId="9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183" fontId="27" fillId="0" borderId="0" xfId="0" applyNumberFormat="1" applyFont="1" applyAlignment="1">
      <alignment horizontal="left" vertical="center"/>
    </xf>
    <xf numFmtId="0" fontId="20" fillId="0" borderId="0" xfId="0" applyFont="1" applyAlignment="1" applyProtection="1">
      <protection locked="0"/>
    </xf>
    <xf numFmtId="0" fontId="20" fillId="0" borderId="16" xfId="0" applyFont="1" applyBorder="1" applyAlignment="1">
      <alignment horizontal="center"/>
    </xf>
    <xf numFmtId="182" fontId="1" fillId="0" borderId="17" xfId="9" applyNumberFormat="1" applyBorder="1" applyAlignment="1">
      <alignment horizontal="center"/>
    </xf>
    <xf numFmtId="182" fontId="1" fillId="0" borderId="18" xfId="9" applyNumberFormat="1" applyBorder="1" applyAlignment="1">
      <alignment horizontal="center"/>
    </xf>
    <xf numFmtId="0" fontId="20" fillId="0" borderId="0" xfId="0" applyFont="1" applyAlignment="1">
      <alignment horizontal="center"/>
    </xf>
    <xf numFmtId="182" fontId="1" fillId="0" borderId="0" xfId="9" applyNumberFormat="1" applyBorder="1" applyAlignment="1">
      <alignment horizontal="center"/>
    </xf>
    <xf numFmtId="183" fontId="24" fillId="0" borderId="0" xfId="9" applyNumberFormat="1" applyFont="1" applyBorder="1" applyAlignment="1">
      <alignment horizontal="left"/>
    </xf>
    <xf numFmtId="183" fontId="27" fillId="0" borderId="0" xfId="0" applyNumberFormat="1" applyFont="1" applyAlignment="1" applyProtection="1">
      <alignment horizontal="left" vertical="center"/>
      <protection locked="0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1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9831-6452-4860-AA4E-9CFCE6764C52}">
  <sheetPr>
    <pageSetUpPr fitToPage="1"/>
  </sheetPr>
  <dimension ref="A1:CN46"/>
  <sheetViews>
    <sheetView tabSelected="1" topLeftCell="A16" workbookViewId="0">
      <pane xSplit="9" topLeftCell="J1" activePane="topRight" state="frozen"/>
      <selection pane="topRight" activeCell="A18" sqref="A18"/>
    </sheetView>
  </sheetViews>
  <sheetFormatPr defaultColWidth="8.88671875" defaultRowHeight="18.75" x14ac:dyDescent="0.45"/>
  <cols>
    <col min="1" max="1" width="25.777343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9" width="2.77734375" style="14" customWidth="1"/>
    <col min="90" max="90" width="2.6640625" style="14" customWidth="1"/>
    <col min="91" max="92" width="2.77734375" style="14" customWidth="1"/>
    <col min="93" max="16384" width="8.88671875" style="14"/>
  </cols>
  <sheetData>
    <row r="1" spans="1:92" ht="24" customHeight="1" x14ac:dyDescent="0.45">
      <c r="A1" s="83" t="s">
        <v>0</v>
      </c>
      <c r="D1" s="82" t="s">
        <v>1</v>
      </c>
      <c r="E1" s="112">
        <v>45761</v>
      </c>
      <c r="F1" s="112"/>
      <c r="G1" s="112"/>
    </row>
    <row r="2" spans="1:92" x14ac:dyDescent="0.45">
      <c r="A2" s="113" t="s">
        <v>36</v>
      </c>
      <c r="B2" s="113"/>
      <c r="C2" s="113"/>
      <c r="D2" s="113"/>
      <c r="E2" s="113"/>
      <c r="F2" s="113"/>
      <c r="G2" s="113"/>
      <c r="H2" s="99"/>
      <c r="I2" s="99"/>
      <c r="J2" s="99"/>
      <c r="K2" s="99"/>
      <c r="L2" s="99"/>
    </row>
    <row r="3" spans="1:92" x14ac:dyDescent="0.45">
      <c r="A3" s="113" t="s">
        <v>37</v>
      </c>
      <c r="B3" s="113"/>
      <c r="C3" s="113"/>
      <c r="D3" s="113"/>
      <c r="E3" s="113"/>
      <c r="F3" s="113"/>
      <c r="G3" s="113"/>
      <c r="H3" s="99"/>
      <c r="I3" s="99"/>
      <c r="J3" s="99"/>
      <c r="K3" s="99"/>
      <c r="L3" s="99"/>
    </row>
    <row r="4" spans="1:92" x14ac:dyDescent="0.45">
      <c r="A4" s="113" t="s">
        <v>38</v>
      </c>
      <c r="B4" s="113"/>
      <c r="C4" s="113"/>
      <c r="D4" s="113"/>
      <c r="E4" s="113"/>
      <c r="F4" s="113"/>
      <c r="G4" s="113"/>
      <c r="H4" s="99"/>
      <c r="I4" s="99"/>
      <c r="J4" s="99"/>
      <c r="K4" s="99"/>
      <c r="L4" s="99"/>
    </row>
    <row r="5" spans="1:92" ht="15" customHeight="1" x14ac:dyDescent="0.45">
      <c r="D5" s="117"/>
      <c r="E5" s="117"/>
      <c r="F5" s="118"/>
      <c r="G5" s="118"/>
    </row>
    <row r="6" spans="1:92" x14ac:dyDescent="0.45">
      <c r="A6" s="80"/>
      <c r="B6" s="119"/>
      <c r="C6" s="119"/>
      <c r="D6" s="114"/>
      <c r="E6" s="114"/>
      <c r="F6" s="115"/>
      <c r="G6" s="116"/>
      <c r="H6" s="108">
        <f>H7</f>
        <v>45761</v>
      </c>
      <c r="I6" s="108"/>
      <c r="J6" s="108"/>
      <c r="K6" s="108"/>
      <c r="L6" s="108"/>
      <c r="M6" s="108">
        <f>H6+7</f>
        <v>45768</v>
      </c>
      <c r="N6" s="108"/>
      <c r="O6" s="108"/>
      <c r="P6" s="108"/>
      <c r="Q6" s="108"/>
      <c r="R6" s="108">
        <f>M6+7</f>
        <v>45775</v>
      </c>
      <c r="S6" s="108"/>
      <c r="T6" s="108"/>
      <c r="U6" s="108"/>
      <c r="V6" s="108"/>
      <c r="W6" s="108">
        <f>R6+7</f>
        <v>45782</v>
      </c>
      <c r="X6" s="108"/>
      <c r="Y6" s="108"/>
      <c r="Z6" s="108"/>
      <c r="AA6" s="108"/>
      <c r="AB6" s="108">
        <f>W6+7</f>
        <v>45789</v>
      </c>
      <c r="AC6" s="108"/>
      <c r="AD6" s="108"/>
      <c r="AE6" s="108"/>
      <c r="AF6" s="108"/>
      <c r="AG6" s="108">
        <f>AB6+7</f>
        <v>45796</v>
      </c>
      <c r="AH6" s="108"/>
      <c r="AI6" s="108"/>
      <c r="AJ6" s="108"/>
      <c r="AK6" s="108"/>
      <c r="AL6" s="108">
        <f>AG6+7</f>
        <v>45803</v>
      </c>
      <c r="AM6" s="108"/>
      <c r="AN6" s="108"/>
      <c r="AO6" s="108"/>
      <c r="AP6" s="108"/>
      <c r="AQ6" s="108">
        <f>AL6+7</f>
        <v>45810</v>
      </c>
      <c r="AR6" s="108"/>
      <c r="AS6" s="108"/>
      <c r="AT6" s="108"/>
      <c r="AU6" s="108"/>
      <c r="AV6" s="108">
        <f>AQ6+7</f>
        <v>45817</v>
      </c>
      <c r="AW6" s="108"/>
      <c r="AX6" s="108"/>
      <c r="AY6" s="108"/>
      <c r="AZ6" s="108"/>
      <c r="BA6" s="108">
        <f>AV6+7</f>
        <v>45824</v>
      </c>
      <c r="BB6" s="108"/>
      <c r="BC6" s="108"/>
      <c r="BD6" s="108"/>
      <c r="BE6" s="108"/>
      <c r="BF6" s="108">
        <f>BA6+7</f>
        <v>45831</v>
      </c>
      <c r="BG6" s="108"/>
      <c r="BH6" s="108"/>
      <c r="BI6" s="108"/>
      <c r="BJ6" s="108"/>
      <c r="BK6" s="108">
        <f>BF6+7</f>
        <v>45838</v>
      </c>
      <c r="BL6" s="108"/>
      <c r="BM6" s="108"/>
      <c r="BN6" s="108"/>
      <c r="BO6" s="108"/>
      <c r="BP6" s="108">
        <f>BK6+7</f>
        <v>45845</v>
      </c>
      <c r="BQ6" s="108"/>
      <c r="BR6" s="108"/>
      <c r="BS6" s="108"/>
      <c r="BT6" s="108"/>
      <c r="BU6" s="108">
        <f>BP6+7</f>
        <v>45852</v>
      </c>
      <c r="BV6" s="108"/>
      <c r="BW6" s="108"/>
      <c r="BX6" s="108"/>
      <c r="BY6" s="108"/>
      <c r="BZ6" s="108">
        <f>BU6+7</f>
        <v>45859</v>
      </c>
      <c r="CA6" s="108"/>
      <c r="CB6" s="108"/>
      <c r="CC6" s="108"/>
      <c r="CD6" s="108"/>
      <c r="CE6" s="108">
        <f>BZ6+7</f>
        <v>45866</v>
      </c>
      <c r="CF6" s="108"/>
      <c r="CG6" s="108"/>
      <c r="CH6" s="108"/>
      <c r="CI6" s="108"/>
      <c r="CJ6" s="108">
        <f>CE6+7</f>
        <v>45873</v>
      </c>
      <c r="CK6" s="108"/>
      <c r="CL6" s="108"/>
      <c r="CM6" s="108"/>
      <c r="CN6" s="108"/>
    </row>
    <row r="7" spans="1:92" x14ac:dyDescent="0.45">
      <c r="A7" s="75"/>
      <c r="B7" s="75"/>
      <c r="C7" s="76"/>
      <c r="D7" s="109" t="s">
        <v>2</v>
      </c>
      <c r="E7" s="110"/>
      <c r="F7" s="111" t="s">
        <v>3</v>
      </c>
      <c r="G7" s="110"/>
      <c r="H7" s="77">
        <f>E1-WEEKDAY(E1,1)+2</f>
        <v>45761</v>
      </c>
      <c r="I7" s="77">
        <f>H7+1</f>
        <v>45762</v>
      </c>
      <c r="J7" s="77">
        <f t="shared" ref="J7:L7" si="0">I7+1</f>
        <v>45763</v>
      </c>
      <c r="K7" s="77">
        <f t="shared" si="0"/>
        <v>45764</v>
      </c>
      <c r="L7" s="77">
        <f t="shared" si="0"/>
        <v>45765</v>
      </c>
      <c r="M7" s="77">
        <f>M6</f>
        <v>45768</v>
      </c>
      <c r="N7" s="77">
        <f>M7+1</f>
        <v>45769</v>
      </c>
      <c r="O7" s="77">
        <f t="shared" ref="O7:Q7" si="1">N7+1</f>
        <v>45770</v>
      </c>
      <c r="P7" s="77">
        <f t="shared" si="1"/>
        <v>45771</v>
      </c>
      <c r="Q7" s="77">
        <f t="shared" si="1"/>
        <v>45772</v>
      </c>
      <c r="R7" s="77">
        <f>R6</f>
        <v>45775</v>
      </c>
      <c r="S7" s="77">
        <f>R7+1</f>
        <v>45776</v>
      </c>
      <c r="T7" s="77">
        <f t="shared" ref="T7:V7" si="2">S7+1</f>
        <v>45777</v>
      </c>
      <c r="U7" s="77">
        <f t="shared" si="2"/>
        <v>45778</v>
      </c>
      <c r="V7" s="77">
        <f t="shared" si="2"/>
        <v>45779</v>
      </c>
      <c r="W7" s="103">
        <f>W6</f>
        <v>45782</v>
      </c>
      <c r="X7" s="77">
        <f>W7+1</f>
        <v>45783</v>
      </c>
      <c r="Y7" s="77">
        <f t="shared" ref="Y7:AA7" si="3">X7+1</f>
        <v>45784</v>
      </c>
      <c r="Z7" s="77">
        <f t="shared" si="3"/>
        <v>45785</v>
      </c>
      <c r="AA7" s="103">
        <f t="shared" si="3"/>
        <v>45786</v>
      </c>
      <c r="AB7" s="103">
        <f>AB6</f>
        <v>45789</v>
      </c>
      <c r="AC7" s="77">
        <f>AB7+1</f>
        <v>45790</v>
      </c>
      <c r="AD7" s="77">
        <f t="shared" ref="AD7:AF7" si="4">AC7+1</f>
        <v>45791</v>
      </c>
      <c r="AE7" s="77">
        <f t="shared" si="4"/>
        <v>45792</v>
      </c>
      <c r="AF7" s="77">
        <f t="shared" si="4"/>
        <v>45793</v>
      </c>
      <c r="AG7" s="77">
        <f>AG6</f>
        <v>45796</v>
      </c>
      <c r="AH7" s="77">
        <f>AG7+1</f>
        <v>45797</v>
      </c>
      <c r="AI7" s="77">
        <f t="shared" ref="AI7:AK7" si="5">AH7+1</f>
        <v>45798</v>
      </c>
      <c r="AJ7" s="77">
        <f t="shared" si="5"/>
        <v>45799</v>
      </c>
      <c r="AK7" s="77">
        <f t="shared" si="5"/>
        <v>45800</v>
      </c>
      <c r="AL7" s="77">
        <f>AL6</f>
        <v>45803</v>
      </c>
      <c r="AM7" s="77">
        <f>AL7+1</f>
        <v>45804</v>
      </c>
      <c r="AN7" s="77">
        <f t="shared" ref="AN7:AP7" si="6">AM7+1</f>
        <v>45805</v>
      </c>
      <c r="AO7" s="77">
        <f t="shared" si="6"/>
        <v>45806</v>
      </c>
      <c r="AP7" s="77">
        <f t="shared" si="6"/>
        <v>45807</v>
      </c>
      <c r="AQ7" s="77">
        <f>AQ6</f>
        <v>45810</v>
      </c>
      <c r="AR7" s="77">
        <f>AQ7+1</f>
        <v>45811</v>
      </c>
      <c r="AS7" s="77">
        <f t="shared" ref="AS7:AU7" si="7">AR7+1</f>
        <v>45812</v>
      </c>
      <c r="AT7" s="77">
        <f t="shared" si="7"/>
        <v>45813</v>
      </c>
      <c r="AU7" s="77">
        <f t="shared" si="7"/>
        <v>45814</v>
      </c>
      <c r="AV7" s="77">
        <f>AV6</f>
        <v>45817</v>
      </c>
      <c r="AW7" s="77">
        <f>AV7+1</f>
        <v>45818</v>
      </c>
      <c r="AX7" s="77">
        <f t="shared" ref="AX7:AZ7" si="8">AW7+1</f>
        <v>45819</v>
      </c>
      <c r="AY7" s="77">
        <f t="shared" si="8"/>
        <v>45820</v>
      </c>
      <c r="AZ7" s="77">
        <f t="shared" si="8"/>
        <v>45821</v>
      </c>
      <c r="BA7" s="77">
        <f>BA6</f>
        <v>45824</v>
      </c>
      <c r="BB7" s="77">
        <f>BA7+1</f>
        <v>45825</v>
      </c>
      <c r="BC7" s="77">
        <f t="shared" ref="BC7:BE7" si="9">BB7+1</f>
        <v>45826</v>
      </c>
      <c r="BD7" s="77">
        <f t="shared" si="9"/>
        <v>45827</v>
      </c>
      <c r="BE7" s="77">
        <f t="shared" si="9"/>
        <v>45828</v>
      </c>
      <c r="BF7" s="77">
        <f>BF6</f>
        <v>45831</v>
      </c>
      <c r="BG7" s="77">
        <f>BF7+1</f>
        <v>45832</v>
      </c>
      <c r="BH7" s="77">
        <f t="shared" ref="BH7:BJ7" si="10">BG7+1</f>
        <v>45833</v>
      </c>
      <c r="BI7" s="77">
        <f t="shared" si="10"/>
        <v>45834</v>
      </c>
      <c r="BJ7" s="77">
        <f t="shared" si="10"/>
        <v>45835</v>
      </c>
      <c r="BK7" s="77">
        <f>BK6</f>
        <v>45838</v>
      </c>
      <c r="BL7" s="77">
        <f>BK7+1</f>
        <v>45839</v>
      </c>
      <c r="BM7" s="77">
        <f t="shared" ref="BM7:BO7" si="11">BL7+1</f>
        <v>45840</v>
      </c>
      <c r="BN7" s="77">
        <f t="shared" si="11"/>
        <v>45841</v>
      </c>
      <c r="BO7" s="77">
        <f t="shared" si="11"/>
        <v>45842</v>
      </c>
      <c r="BP7" s="77">
        <f>BP6</f>
        <v>45845</v>
      </c>
      <c r="BQ7" s="77">
        <f>BP7+1</f>
        <v>45846</v>
      </c>
      <c r="BR7" s="77">
        <f t="shared" ref="BR7:BT7" si="12">BQ7+1</f>
        <v>45847</v>
      </c>
      <c r="BS7" s="77">
        <f t="shared" si="12"/>
        <v>45848</v>
      </c>
      <c r="BT7" s="77">
        <f t="shared" si="12"/>
        <v>45849</v>
      </c>
      <c r="BU7" s="77">
        <f>BU6</f>
        <v>45852</v>
      </c>
      <c r="BV7" s="77">
        <f>BU7+1</f>
        <v>45853</v>
      </c>
      <c r="BW7" s="77">
        <f t="shared" ref="BW7:BY7" si="13">BV7+1</f>
        <v>45854</v>
      </c>
      <c r="BX7" s="77">
        <f t="shared" si="13"/>
        <v>45855</v>
      </c>
      <c r="BY7" s="77">
        <f t="shared" si="13"/>
        <v>45856</v>
      </c>
      <c r="BZ7" s="103">
        <f>BZ6</f>
        <v>45859</v>
      </c>
      <c r="CA7" s="77">
        <f>BZ7+1</f>
        <v>45860</v>
      </c>
      <c r="CB7" s="77">
        <f t="shared" ref="CB7:CD7" si="14">CA7+1</f>
        <v>45861</v>
      </c>
      <c r="CC7" s="77">
        <f t="shared" si="14"/>
        <v>45862</v>
      </c>
      <c r="CD7" s="77">
        <f t="shared" si="14"/>
        <v>45863</v>
      </c>
      <c r="CE7" s="77">
        <f>CE6</f>
        <v>45866</v>
      </c>
      <c r="CF7" s="77">
        <f>CE7+1</f>
        <v>45867</v>
      </c>
      <c r="CG7" s="77">
        <f t="shared" ref="CG7:CI7" si="15">CF7+1</f>
        <v>45868</v>
      </c>
      <c r="CH7" s="77">
        <f t="shared" si="15"/>
        <v>45869</v>
      </c>
      <c r="CI7" s="77">
        <f t="shared" si="15"/>
        <v>45870</v>
      </c>
      <c r="CJ7" s="77">
        <f>CJ6</f>
        <v>45873</v>
      </c>
      <c r="CK7" s="77">
        <f>CJ7+1</f>
        <v>45874</v>
      </c>
      <c r="CL7" s="77">
        <f t="shared" ref="CL7:CN7" si="16">CK7+1</f>
        <v>45875</v>
      </c>
      <c r="CM7" s="77">
        <f t="shared" si="16"/>
        <v>45876</v>
      </c>
      <c r="CN7" s="77">
        <f t="shared" si="16"/>
        <v>45877</v>
      </c>
    </row>
    <row r="8" spans="1:92" ht="19.5" customHeight="1" x14ac:dyDescent="0.45">
      <c r="A8" s="79" t="s">
        <v>4</v>
      </c>
      <c r="B8" s="79" t="s">
        <v>5</v>
      </c>
      <c r="C8" s="79" t="s">
        <v>6</v>
      </c>
      <c r="D8" s="79" t="s">
        <v>7</v>
      </c>
      <c r="E8" s="79" t="s">
        <v>8</v>
      </c>
      <c r="F8" s="79" t="s">
        <v>7</v>
      </c>
      <c r="G8" s="79" t="s">
        <v>8</v>
      </c>
      <c r="H8" s="79" t="s">
        <v>9</v>
      </c>
      <c r="I8" s="79" t="s">
        <v>10</v>
      </c>
      <c r="J8" s="79" t="s">
        <v>11</v>
      </c>
      <c r="K8" s="79" t="s">
        <v>12</v>
      </c>
      <c r="L8" s="79" t="s">
        <v>13</v>
      </c>
      <c r="M8" s="79" t="s">
        <v>9</v>
      </c>
      <c r="N8" s="79" t="s">
        <v>10</v>
      </c>
      <c r="O8" s="79" t="s">
        <v>11</v>
      </c>
      <c r="P8" s="79" t="s">
        <v>12</v>
      </c>
      <c r="Q8" s="79" t="s">
        <v>13</v>
      </c>
      <c r="R8" s="79" t="s">
        <v>9</v>
      </c>
      <c r="S8" s="79" t="s">
        <v>10</v>
      </c>
      <c r="T8" s="79" t="s">
        <v>11</v>
      </c>
      <c r="U8" s="79" t="s">
        <v>12</v>
      </c>
      <c r="V8" s="79" t="s">
        <v>13</v>
      </c>
      <c r="W8" s="79" t="s">
        <v>9</v>
      </c>
      <c r="X8" s="79" t="s">
        <v>10</v>
      </c>
      <c r="Y8" s="79" t="s">
        <v>11</v>
      </c>
      <c r="Z8" s="79" t="s">
        <v>12</v>
      </c>
      <c r="AA8" s="79" t="s">
        <v>13</v>
      </c>
      <c r="AB8" s="79" t="s">
        <v>9</v>
      </c>
      <c r="AC8" s="79" t="s">
        <v>10</v>
      </c>
      <c r="AD8" s="79" t="s">
        <v>11</v>
      </c>
      <c r="AE8" s="79" t="s">
        <v>12</v>
      </c>
      <c r="AF8" s="79" t="s">
        <v>13</v>
      </c>
      <c r="AG8" s="79" t="s">
        <v>9</v>
      </c>
      <c r="AH8" s="79" t="s">
        <v>10</v>
      </c>
      <c r="AI8" s="79" t="s">
        <v>11</v>
      </c>
      <c r="AJ8" s="79" t="s">
        <v>12</v>
      </c>
      <c r="AK8" s="79" t="s">
        <v>13</v>
      </c>
      <c r="AL8" s="79" t="s">
        <v>9</v>
      </c>
      <c r="AM8" s="79" t="s">
        <v>10</v>
      </c>
      <c r="AN8" s="79" t="s">
        <v>11</v>
      </c>
      <c r="AO8" s="79" t="s">
        <v>12</v>
      </c>
      <c r="AP8" s="79" t="s">
        <v>13</v>
      </c>
      <c r="AQ8" s="79" t="s">
        <v>9</v>
      </c>
      <c r="AR8" s="79" t="s">
        <v>10</v>
      </c>
      <c r="AS8" s="79" t="s">
        <v>11</v>
      </c>
      <c r="AT8" s="79" t="s">
        <v>12</v>
      </c>
      <c r="AU8" s="79" t="s">
        <v>13</v>
      </c>
      <c r="AV8" s="79" t="s">
        <v>9</v>
      </c>
      <c r="AW8" s="79" t="s">
        <v>10</v>
      </c>
      <c r="AX8" s="79" t="s">
        <v>11</v>
      </c>
      <c r="AY8" s="79" t="s">
        <v>12</v>
      </c>
      <c r="AZ8" s="79" t="s">
        <v>13</v>
      </c>
      <c r="BA8" s="79" t="s">
        <v>9</v>
      </c>
      <c r="BB8" s="79" t="s">
        <v>10</v>
      </c>
      <c r="BC8" s="79" t="s">
        <v>11</v>
      </c>
      <c r="BD8" s="79" t="s">
        <v>12</v>
      </c>
      <c r="BE8" s="79" t="s">
        <v>13</v>
      </c>
      <c r="BF8" s="79" t="s">
        <v>9</v>
      </c>
      <c r="BG8" s="79" t="s">
        <v>10</v>
      </c>
      <c r="BH8" s="79" t="s">
        <v>11</v>
      </c>
      <c r="BI8" s="79" t="s">
        <v>12</v>
      </c>
      <c r="BJ8" s="79" t="s">
        <v>13</v>
      </c>
      <c r="BK8" s="79" t="s">
        <v>9</v>
      </c>
      <c r="BL8" s="79" t="s">
        <v>10</v>
      </c>
      <c r="BM8" s="79" t="s">
        <v>11</v>
      </c>
      <c r="BN8" s="79" t="s">
        <v>12</v>
      </c>
      <c r="BO8" s="79" t="s">
        <v>13</v>
      </c>
      <c r="BP8" s="79" t="s">
        <v>9</v>
      </c>
      <c r="BQ8" s="79" t="s">
        <v>10</v>
      </c>
      <c r="BR8" s="79" t="s">
        <v>11</v>
      </c>
      <c r="BS8" s="79" t="s">
        <v>12</v>
      </c>
      <c r="BT8" s="79" t="s">
        <v>13</v>
      </c>
      <c r="BU8" s="79" t="s">
        <v>9</v>
      </c>
      <c r="BV8" s="79" t="s">
        <v>10</v>
      </c>
      <c r="BW8" s="79" t="s">
        <v>11</v>
      </c>
      <c r="BX8" s="79" t="s">
        <v>12</v>
      </c>
      <c r="BY8" s="79" t="s">
        <v>13</v>
      </c>
      <c r="BZ8" s="79" t="s">
        <v>9</v>
      </c>
      <c r="CA8" s="79" t="s">
        <v>10</v>
      </c>
      <c r="CB8" s="79" t="s">
        <v>11</v>
      </c>
      <c r="CC8" s="79" t="s">
        <v>12</v>
      </c>
      <c r="CD8" s="79" t="s">
        <v>13</v>
      </c>
      <c r="CE8" s="79" t="s">
        <v>9</v>
      </c>
      <c r="CF8" s="79" t="s">
        <v>10</v>
      </c>
      <c r="CG8" s="79" t="s">
        <v>11</v>
      </c>
      <c r="CH8" s="79" t="s">
        <v>12</v>
      </c>
      <c r="CI8" s="79" t="s">
        <v>13</v>
      </c>
      <c r="CJ8" s="79" t="s">
        <v>9</v>
      </c>
      <c r="CK8" s="79" t="s">
        <v>10</v>
      </c>
      <c r="CL8" s="79" t="s">
        <v>11</v>
      </c>
      <c r="CM8" s="79" t="s">
        <v>12</v>
      </c>
      <c r="CN8" s="79" t="s">
        <v>13</v>
      </c>
    </row>
    <row r="9" spans="1:92" ht="24" customHeight="1" x14ac:dyDescent="0.45">
      <c r="A9" s="16" t="s">
        <v>39</v>
      </c>
      <c r="B9" s="17"/>
      <c r="C9" s="18"/>
      <c r="D9" s="19"/>
      <c r="E9" s="19"/>
      <c r="F9" s="19"/>
      <c r="G9" s="19"/>
      <c r="H9" s="20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2"/>
    </row>
    <row r="10" spans="1:92" ht="24" customHeight="1" x14ac:dyDescent="0.45">
      <c r="A10" s="71" t="s">
        <v>44</v>
      </c>
      <c r="B10" s="23"/>
      <c r="C10" s="104"/>
      <c r="D10" s="25"/>
      <c r="E10" s="25"/>
      <c r="F10" s="25"/>
      <c r="G10" s="25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8"/>
    </row>
    <row r="11" spans="1:92" ht="24" customHeight="1" x14ac:dyDescent="0.45">
      <c r="A11" s="71" t="s">
        <v>47</v>
      </c>
      <c r="B11" s="23"/>
      <c r="C11" s="104"/>
      <c r="D11" s="25"/>
      <c r="E11" s="25"/>
      <c r="F11" s="25"/>
      <c r="G11" s="25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8"/>
    </row>
    <row r="12" spans="1:92" ht="24" customHeight="1" x14ac:dyDescent="0.45">
      <c r="A12" s="71"/>
      <c r="B12" s="23"/>
      <c r="C12" s="24"/>
      <c r="D12" s="25"/>
      <c r="E12" s="25"/>
      <c r="F12" s="25"/>
      <c r="G12" s="25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8"/>
    </row>
    <row r="13" spans="1:92" ht="24" customHeight="1" x14ac:dyDescent="0.45">
      <c r="A13" s="71"/>
      <c r="B13" s="23"/>
      <c r="C13" s="24"/>
      <c r="D13" s="25"/>
      <c r="E13" s="25"/>
      <c r="F13" s="25"/>
      <c r="G13" s="25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8"/>
    </row>
    <row r="14" spans="1:92" ht="24" customHeight="1" x14ac:dyDescent="0.45">
      <c r="A14" s="71"/>
      <c r="B14" s="23"/>
      <c r="C14" s="24"/>
      <c r="D14" s="25"/>
      <c r="E14" s="25"/>
      <c r="F14" s="25"/>
      <c r="G14" s="25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8"/>
    </row>
    <row r="15" spans="1:92" ht="24" customHeight="1" x14ac:dyDescent="0.45">
      <c r="A15" s="29" t="s">
        <v>40</v>
      </c>
      <c r="B15" s="30"/>
      <c r="C15" s="31"/>
      <c r="D15" s="32"/>
      <c r="E15" s="32"/>
      <c r="F15" s="32"/>
      <c r="G15" s="32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5"/>
    </row>
    <row r="16" spans="1:92" ht="24" customHeight="1" x14ac:dyDescent="0.45">
      <c r="A16" s="72" t="s">
        <v>48</v>
      </c>
      <c r="B16" s="36"/>
      <c r="C16" s="106"/>
      <c r="D16" s="38"/>
      <c r="E16" s="38"/>
      <c r="F16" s="38"/>
      <c r="G16" s="38"/>
      <c r="H16" s="39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1"/>
    </row>
    <row r="17" spans="1:92" ht="24" customHeight="1" x14ac:dyDescent="0.45">
      <c r="A17" s="72" t="s">
        <v>49</v>
      </c>
      <c r="B17" s="36"/>
      <c r="C17" s="106"/>
      <c r="D17" s="38"/>
      <c r="E17" s="38"/>
      <c r="F17" s="38"/>
      <c r="G17" s="38"/>
      <c r="H17" s="39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1"/>
    </row>
    <row r="18" spans="1:92" ht="24" customHeight="1" x14ac:dyDescent="0.45">
      <c r="A18" s="72" t="s">
        <v>50</v>
      </c>
      <c r="B18" s="36"/>
      <c r="C18" s="106"/>
      <c r="D18" s="38"/>
      <c r="E18" s="38"/>
      <c r="F18" s="38"/>
      <c r="G18" s="38"/>
      <c r="H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1"/>
    </row>
    <row r="19" spans="1:92" ht="24" customHeight="1" x14ac:dyDescent="0.45">
      <c r="A19" s="72"/>
      <c r="B19" s="36"/>
      <c r="C19" s="106"/>
      <c r="D19" s="38"/>
      <c r="E19" s="38"/>
      <c r="F19" s="38"/>
      <c r="G19" s="38"/>
      <c r="H19" s="39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1"/>
    </row>
    <row r="20" spans="1:92" ht="24" customHeight="1" x14ac:dyDescent="0.45">
      <c r="A20" s="72"/>
      <c r="B20" s="36"/>
      <c r="C20" s="106"/>
      <c r="D20" s="38"/>
      <c r="E20" s="38"/>
      <c r="F20" s="38"/>
      <c r="G20" s="38"/>
      <c r="H20" s="39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1"/>
    </row>
    <row r="21" spans="1:92" ht="24" customHeight="1" x14ac:dyDescent="0.45">
      <c r="A21" s="72"/>
      <c r="B21" s="36"/>
      <c r="C21" s="106"/>
      <c r="D21" s="38"/>
      <c r="E21" s="38"/>
      <c r="F21" s="38"/>
      <c r="G21" s="38"/>
      <c r="H21" s="39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1"/>
    </row>
    <row r="22" spans="1:92" ht="24" customHeight="1" x14ac:dyDescent="0.45">
      <c r="A22" s="72"/>
      <c r="B22" s="36"/>
      <c r="C22" s="106"/>
      <c r="D22" s="38"/>
      <c r="E22" s="38"/>
      <c r="F22" s="38"/>
      <c r="G22" s="38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1"/>
    </row>
    <row r="23" spans="1:92" ht="24" customHeight="1" x14ac:dyDescent="0.45">
      <c r="A23" s="72"/>
      <c r="B23" s="36"/>
      <c r="C23" s="106"/>
      <c r="D23" s="38"/>
      <c r="E23" s="38"/>
      <c r="F23" s="38"/>
      <c r="G23" s="38"/>
      <c r="H23" s="3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1"/>
    </row>
    <row r="24" spans="1:92" ht="24" customHeight="1" x14ac:dyDescent="0.45">
      <c r="A24" s="72"/>
      <c r="B24" s="36"/>
      <c r="C24" s="106"/>
      <c r="D24" s="38"/>
      <c r="E24" s="38"/>
      <c r="F24" s="38"/>
      <c r="G24" s="38"/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1"/>
    </row>
    <row r="25" spans="1:92" ht="24" customHeight="1" x14ac:dyDescent="0.45">
      <c r="A25" s="42" t="s">
        <v>42</v>
      </c>
      <c r="B25" s="43"/>
      <c r="C25" s="44"/>
      <c r="D25" s="45"/>
      <c r="E25" s="45"/>
      <c r="F25" s="45"/>
      <c r="G25" s="45"/>
      <c r="H25" s="46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8"/>
    </row>
    <row r="26" spans="1:92" ht="24" customHeight="1" x14ac:dyDescent="0.45">
      <c r="A26" s="73"/>
      <c r="B26" s="49"/>
      <c r="C26" s="107"/>
      <c r="D26" s="51"/>
      <c r="E26" s="51"/>
      <c r="F26" s="51"/>
      <c r="G26" s="51"/>
      <c r="H26" s="5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4"/>
    </row>
    <row r="27" spans="1:92" ht="24" customHeight="1" x14ac:dyDescent="0.45">
      <c r="A27" s="73"/>
      <c r="B27" s="49"/>
      <c r="C27" s="107"/>
      <c r="D27" s="51"/>
      <c r="E27" s="51"/>
      <c r="F27" s="51"/>
      <c r="G27" s="51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4"/>
    </row>
    <row r="28" spans="1:92" ht="24" customHeight="1" x14ac:dyDescent="0.45">
      <c r="A28" s="73"/>
      <c r="B28" s="49"/>
      <c r="C28" s="107"/>
      <c r="D28" s="51"/>
      <c r="E28" s="51"/>
      <c r="F28" s="51"/>
      <c r="G28" s="51"/>
      <c r="H28" s="52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4"/>
    </row>
    <row r="29" spans="1:92" ht="24" customHeight="1" x14ac:dyDescent="0.45">
      <c r="A29" s="73"/>
      <c r="B29" s="49"/>
      <c r="C29" s="107"/>
      <c r="D29" s="51"/>
      <c r="E29" s="51"/>
      <c r="F29" s="51"/>
      <c r="G29" s="5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4"/>
    </row>
    <row r="30" spans="1:92" ht="24" customHeight="1" x14ac:dyDescent="0.45">
      <c r="A30" s="73"/>
      <c r="B30" s="49"/>
      <c r="C30" s="107"/>
      <c r="D30" s="51"/>
      <c r="E30" s="51"/>
      <c r="F30" s="51"/>
      <c r="G30" s="51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4"/>
    </row>
    <row r="31" spans="1:92" ht="24" customHeight="1" x14ac:dyDescent="0.45">
      <c r="A31" s="73"/>
      <c r="B31" s="49"/>
      <c r="C31" s="107"/>
      <c r="D31" s="51"/>
      <c r="E31" s="51"/>
      <c r="F31" s="51"/>
      <c r="G31" s="51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4"/>
    </row>
    <row r="32" spans="1:92" ht="24" customHeight="1" x14ac:dyDescent="0.45">
      <c r="A32" s="73"/>
      <c r="B32" s="49"/>
      <c r="C32" s="107"/>
      <c r="D32" s="51"/>
      <c r="E32" s="51"/>
      <c r="F32" s="51"/>
      <c r="G32" s="51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4"/>
    </row>
    <row r="33" spans="1:92" ht="24" customHeight="1" x14ac:dyDescent="0.45">
      <c r="A33" s="55" t="s">
        <v>43</v>
      </c>
      <c r="B33" s="56"/>
      <c r="C33" s="57"/>
      <c r="D33" s="58"/>
      <c r="E33" s="58"/>
      <c r="F33" s="58"/>
      <c r="G33" s="58"/>
      <c r="H33" s="59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1"/>
    </row>
    <row r="34" spans="1:92" ht="24" customHeight="1" x14ac:dyDescent="0.45">
      <c r="A34" s="63" t="s">
        <v>45</v>
      </c>
      <c r="B34" s="63"/>
      <c r="C34" s="105"/>
      <c r="D34" s="64"/>
      <c r="E34" s="64"/>
      <c r="F34" s="64"/>
      <c r="G34" s="64"/>
      <c r="H34" s="65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7"/>
    </row>
    <row r="35" spans="1:92" ht="24" customHeight="1" x14ac:dyDescent="0.45">
      <c r="A35" s="63" t="s">
        <v>46</v>
      </c>
      <c r="B35" s="62"/>
      <c r="C35" s="105"/>
      <c r="D35" s="64"/>
      <c r="E35" s="64"/>
      <c r="F35" s="64"/>
      <c r="G35" s="64"/>
      <c r="H35" s="65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7"/>
    </row>
    <row r="36" spans="1:92" ht="24" customHeight="1" x14ac:dyDescent="0.45">
      <c r="A36" s="74"/>
      <c r="B36" s="62"/>
      <c r="C36" s="105"/>
      <c r="D36" s="64"/>
      <c r="E36" s="64"/>
      <c r="F36" s="64"/>
      <c r="G36" s="64"/>
      <c r="H36" s="65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7"/>
    </row>
    <row r="37" spans="1:92" ht="24" customHeight="1" x14ac:dyDescent="0.45">
      <c r="A37" s="74"/>
      <c r="B37" s="62"/>
      <c r="C37" s="105"/>
      <c r="D37" s="64"/>
      <c r="E37" s="64"/>
      <c r="F37" s="64"/>
      <c r="G37" s="64"/>
      <c r="H37" s="65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7"/>
    </row>
    <row r="38" spans="1:92" ht="24" customHeight="1" x14ac:dyDescent="0.45">
      <c r="A38" s="74"/>
      <c r="B38" s="62"/>
      <c r="C38" s="63"/>
      <c r="D38" s="64"/>
      <c r="E38" s="64"/>
      <c r="F38" s="64"/>
      <c r="G38" s="64"/>
      <c r="H38" s="65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7"/>
    </row>
    <row r="39" spans="1:92" ht="24" customHeight="1" x14ac:dyDescent="0.45">
      <c r="A39" s="85" t="s">
        <v>41</v>
      </c>
      <c r="B39" s="86"/>
      <c r="C39" s="87"/>
      <c r="D39" s="88"/>
      <c r="E39" s="88"/>
      <c r="F39" s="88"/>
      <c r="G39" s="88"/>
      <c r="H39" s="89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1"/>
    </row>
    <row r="40" spans="1:92" ht="24" customHeight="1" x14ac:dyDescent="0.45">
      <c r="A40" s="92"/>
      <c r="B40" s="93"/>
      <c r="C40" s="94"/>
      <c r="D40" s="95"/>
      <c r="E40" s="95"/>
      <c r="F40" s="95"/>
      <c r="G40" s="95"/>
      <c r="H40" s="96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8"/>
    </row>
    <row r="41" spans="1:92" ht="15" customHeight="1" x14ac:dyDescent="0.45"/>
    <row r="42" spans="1:92" ht="19.5" customHeight="1" x14ac:dyDescent="0.45">
      <c r="A42" s="84" t="s">
        <v>14</v>
      </c>
      <c r="B42" s="69"/>
      <c r="C42" s="70"/>
      <c r="D42" s="70"/>
      <c r="E42" s="70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</row>
    <row r="43" spans="1:92" ht="24" customHeight="1" x14ac:dyDescent="0.45"/>
    <row r="44" spans="1:92" ht="24" customHeight="1" x14ac:dyDescent="0.45"/>
    <row r="45" spans="1:92" ht="24" customHeight="1" x14ac:dyDescent="0.45"/>
    <row r="46" spans="1:92" ht="24" customHeight="1" x14ac:dyDescent="0.45"/>
  </sheetData>
  <sheetProtection password="DF87" sheet="1" insertRows="0"/>
  <mergeCells count="28">
    <mergeCell ref="E1:G1"/>
    <mergeCell ref="AG6:AK6"/>
    <mergeCell ref="AL6:AP6"/>
    <mergeCell ref="A2:G2"/>
    <mergeCell ref="A3:G3"/>
    <mergeCell ref="A4:G4"/>
    <mergeCell ref="D6:E6"/>
    <mergeCell ref="F6:G6"/>
    <mergeCell ref="H6:L6"/>
    <mergeCell ref="D5:E5"/>
    <mergeCell ref="F5:G5"/>
    <mergeCell ref="B6:C6"/>
    <mergeCell ref="BU6:BY6"/>
    <mergeCell ref="BZ6:CD6"/>
    <mergeCell ref="CE6:CI6"/>
    <mergeCell ref="CJ6:CN6"/>
    <mergeCell ref="D7:E7"/>
    <mergeCell ref="F7:G7"/>
    <mergeCell ref="AQ6:AU6"/>
    <mergeCell ref="AV6:AZ6"/>
    <mergeCell ref="BA6:BE6"/>
    <mergeCell ref="BF6:BJ6"/>
    <mergeCell ref="BK6:BO6"/>
    <mergeCell ref="BP6:BT6"/>
    <mergeCell ref="M6:Q6"/>
    <mergeCell ref="R6:V6"/>
    <mergeCell ref="W6:AA6"/>
    <mergeCell ref="AB6:AF6"/>
  </mergeCells>
  <phoneticPr fontId="19"/>
  <conditionalFormatting sqref="G10:G14 F15:G38">
    <cfRule type="expression" dxfId="9" priority="7">
      <formula>D10&lt;F10</formula>
    </cfRule>
  </conditionalFormatting>
  <conditionalFormatting sqref="F10:F14">
    <cfRule type="expression" dxfId="8" priority="6">
      <formula>D10&lt;F10</formula>
    </cfRule>
  </conditionalFormatting>
  <conditionalFormatting sqref="G9">
    <cfRule type="expression" dxfId="7" priority="3">
      <formula>E9&lt;G9</formula>
    </cfRule>
  </conditionalFormatting>
  <conditionalFormatting sqref="F9">
    <cfRule type="expression" dxfId="6" priority="2">
      <formula>D9&lt;F9</formula>
    </cfRule>
  </conditionalFormatting>
  <conditionalFormatting sqref="F39:G40">
    <cfRule type="expression" dxfId="5" priority="1">
      <formula>D39&lt;F39</formula>
    </cfRule>
  </conditionalFormatting>
  <pageMargins left="0.51181102362204722" right="0.27559055118110237" top="0.27559055118110237" bottom="0.19685039370078741" header="0.23622047244094491" footer="7.874015748031496E-2"/>
  <pageSetup paperSize="8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AE6-9868-4881-B6EC-EAF3A31AE300}">
  <dimension ref="A1:CN38"/>
  <sheetViews>
    <sheetView topLeftCell="A4" workbookViewId="0">
      <selection activeCell="G11" sqref="G11"/>
    </sheetView>
  </sheetViews>
  <sheetFormatPr defaultColWidth="8.88671875" defaultRowHeight="18.75" x14ac:dyDescent="0.45"/>
  <cols>
    <col min="1" max="1" width="25.777343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9" width="2.77734375" style="14" customWidth="1"/>
    <col min="90" max="90" width="2.6640625" style="14" customWidth="1"/>
    <col min="91" max="92" width="2.77734375" style="14" customWidth="1"/>
    <col min="93" max="16384" width="8.88671875" style="14"/>
  </cols>
  <sheetData>
    <row r="1" spans="1:92" ht="27.75" customHeight="1" x14ac:dyDescent="0.45">
      <c r="A1" s="81" t="s">
        <v>0</v>
      </c>
      <c r="D1" s="82" t="s">
        <v>1</v>
      </c>
      <c r="E1" s="120">
        <v>45761</v>
      </c>
      <c r="F1" s="120"/>
      <c r="G1" s="120"/>
    </row>
    <row r="2" spans="1:92" x14ac:dyDescent="0.45">
      <c r="A2" s="113" t="s">
        <v>15</v>
      </c>
      <c r="B2" s="113"/>
      <c r="C2" s="113"/>
      <c r="D2" s="113"/>
      <c r="E2" s="113"/>
      <c r="F2" s="113"/>
      <c r="G2" s="113"/>
    </row>
    <row r="3" spans="1:92" x14ac:dyDescent="0.45">
      <c r="A3" s="113" t="s">
        <v>16</v>
      </c>
      <c r="B3" s="113"/>
      <c r="C3" s="113"/>
      <c r="D3" s="113"/>
      <c r="E3" s="113"/>
      <c r="F3" s="113"/>
      <c r="G3" s="113"/>
    </row>
    <row r="4" spans="1:92" x14ac:dyDescent="0.45">
      <c r="A4" s="113" t="s">
        <v>17</v>
      </c>
      <c r="B4" s="113"/>
      <c r="C4" s="113"/>
      <c r="D4" s="113"/>
      <c r="E4" s="113"/>
      <c r="F4" s="113"/>
      <c r="G4" s="113"/>
    </row>
    <row r="5" spans="1:92" ht="18.75" customHeight="1" x14ac:dyDescent="0.45">
      <c r="D5" s="117"/>
      <c r="E5" s="117"/>
      <c r="F5" s="118"/>
      <c r="G5" s="118"/>
    </row>
    <row r="6" spans="1:92" x14ac:dyDescent="0.45">
      <c r="A6" s="80"/>
      <c r="B6" s="119"/>
      <c r="C6" s="119"/>
      <c r="D6" s="114"/>
      <c r="E6" s="114"/>
      <c r="F6" s="115"/>
      <c r="G6" s="116"/>
      <c r="H6" s="108">
        <f>H7</f>
        <v>45761</v>
      </c>
      <c r="I6" s="108"/>
      <c r="J6" s="108"/>
      <c r="K6" s="108"/>
      <c r="L6" s="108"/>
      <c r="M6" s="108">
        <f>H6+7</f>
        <v>45768</v>
      </c>
      <c r="N6" s="108"/>
      <c r="O6" s="108"/>
      <c r="P6" s="108"/>
      <c r="Q6" s="108"/>
      <c r="R6" s="108">
        <f>M6+7</f>
        <v>45775</v>
      </c>
      <c r="S6" s="108"/>
      <c r="T6" s="108"/>
      <c r="U6" s="108"/>
      <c r="V6" s="108"/>
      <c r="W6" s="108">
        <f>R6+7</f>
        <v>45782</v>
      </c>
      <c r="X6" s="108"/>
      <c r="Y6" s="108"/>
      <c r="Z6" s="108"/>
      <c r="AA6" s="108"/>
      <c r="AB6" s="108">
        <f>W6+7</f>
        <v>45789</v>
      </c>
      <c r="AC6" s="108"/>
      <c r="AD6" s="108"/>
      <c r="AE6" s="108"/>
      <c r="AF6" s="108"/>
      <c r="AG6" s="108">
        <f>AB6+7</f>
        <v>45796</v>
      </c>
      <c r="AH6" s="108"/>
      <c r="AI6" s="108"/>
      <c r="AJ6" s="108"/>
      <c r="AK6" s="108"/>
      <c r="AL6" s="108">
        <f>AG6+7</f>
        <v>45803</v>
      </c>
      <c r="AM6" s="108"/>
      <c r="AN6" s="108"/>
      <c r="AO6" s="108"/>
      <c r="AP6" s="108"/>
      <c r="AQ6" s="108">
        <f>AL6+7</f>
        <v>45810</v>
      </c>
      <c r="AR6" s="108"/>
      <c r="AS6" s="108"/>
      <c r="AT6" s="108"/>
      <c r="AU6" s="108"/>
      <c r="AV6" s="108">
        <f>AQ6+7</f>
        <v>45817</v>
      </c>
      <c r="AW6" s="108"/>
      <c r="AX6" s="108"/>
      <c r="AY6" s="108"/>
      <c r="AZ6" s="108"/>
      <c r="BA6" s="108">
        <f>AV6+7</f>
        <v>45824</v>
      </c>
      <c r="BB6" s="108"/>
      <c r="BC6" s="108"/>
      <c r="BD6" s="108"/>
      <c r="BE6" s="108"/>
      <c r="BF6" s="108">
        <f>BA6+7</f>
        <v>45831</v>
      </c>
      <c r="BG6" s="108"/>
      <c r="BH6" s="108"/>
      <c r="BI6" s="108"/>
      <c r="BJ6" s="108"/>
      <c r="BK6" s="108">
        <f>BF6+7</f>
        <v>45838</v>
      </c>
      <c r="BL6" s="108"/>
      <c r="BM6" s="108"/>
      <c r="BN6" s="108"/>
      <c r="BO6" s="108"/>
      <c r="BP6" s="108">
        <f>BK6+7</f>
        <v>45845</v>
      </c>
      <c r="BQ6" s="108"/>
      <c r="BR6" s="108"/>
      <c r="BS6" s="108"/>
      <c r="BT6" s="108"/>
      <c r="BU6" s="108">
        <f>BP6+7</f>
        <v>45852</v>
      </c>
      <c r="BV6" s="108"/>
      <c r="BW6" s="108"/>
      <c r="BX6" s="108"/>
      <c r="BY6" s="108"/>
      <c r="BZ6" s="108">
        <f>BU6+7</f>
        <v>45859</v>
      </c>
      <c r="CA6" s="108"/>
      <c r="CB6" s="108"/>
      <c r="CC6" s="108"/>
      <c r="CD6" s="108"/>
      <c r="CE6" s="108">
        <f>BZ6+7</f>
        <v>45866</v>
      </c>
      <c r="CF6" s="108"/>
      <c r="CG6" s="108"/>
      <c r="CH6" s="108"/>
      <c r="CI6" s="108"/>
      <c r="CJ6" s="108">
        <f>CE6+7</f>
        <v>45873</v>
      </c>
      <c r="CK6" s="108"/>
      <c r="CL6" s="108"/>
      <c r="CM6" s="108"/>
      <c r="CN6" s="108"/>
    </row>
    <row r="7" spans="1:92" x14ac:dyDescent="0.45">
      <c r="A7" s="75"/>
      <c r="B7" s="75"/>
      <c r="C7" s="76"/>
      <c r="D7" s="109" t="s">
        <v>2</v>
      </c>
      <c r="E7" s="110"/>
      <c r="F7" s="111" t="s">
        <v>3</v>
      </c>
      <c r="G7" s="110"/>
      <c r="H7" s="77">
        <f>E1-WEEKDAY(E1,1)+2</f>
        <v>45761</v>
      </c>
      <c r="I7" s="77">
        <f>H7+1</f>
        <v>45762</v>
      </c>
      <c r="J7" s="77">
        <f t="shared" ref="J7:L7" si="0">I7+1</f>
        <v>45763</v>
      </c>
      <c r="K7" s="77">
        <f t="shared" si="0"/>
        <v>45764</v>
      </c>
      <c r="L7" s="77">
        <f t="shared" si="0"/>
        <v>45765</v>
      </c>
      <c r="M7" s="77">
        <f>M6</f>
        <v>45768</v>
      </c>
      <c r="N7" s="77">
        <f>M7+1</f>
        <v>45769</v>
      </c>
      <c r="O7" s="77">
        <f t="shared" ref="O7:Q7" si="1">N7+1</f>
        <v>45770</v>
      </c>
      <c r="P7" s="77">
        <f t="shared" si="1"/>
        <v>45771</v>
      </c>
      <c r="Q7" s="77">
        <f t="shared" si="1"/>
        <v>45772</v>
      </c>
      <c r="R7" s="77">
        <f>R6</f>
        <v>45775</v>
      </c>
      <c r="S7" s="77">
        <f>R7+1</f>
        <v>45776</v>
      </c>
      <c r="T7" s="77">
        <f t="shared" ref="T7:V7" si="2">S7+1</f>
        <v>45777</v>
      </c>
      <c r="U7" s="77">
        <f t="shared" si="2"/>
        <v>45778</v>
      </c>
      <c r="V7" s="77">
        <f t="shared" si="2"/>
        <v>45779</v>
      </c>
      <c r="W7" s="78">
        <f>W6</f>
        <v>45782</v>
      </c>
      <c r="X7" s="77">
        <f>W7+1</f>
        <v>45783</v>
      </c>
      <c r="Y7" s="77">
        <f t="shared" ref="Y7:AA7" si="3">X7+1</f>
        <v>45784</v>
      </c>
      <c r="Z7" s="77">
        <f t="shared" si="3"/>
        <v>45785</v>
      </c>
      <c r="AA7" s="78">
        <f t="shared" si="3"/>
        <v>45786</v>
      </c>
      <c r="AB7" s="78">
        <f>AB6</f>
        <v>45789</v>
      </c>
      <c r="AC7" s="77">
        <f>AB7+1</f>
        <v>45790</v>
      </c>
      <c r="AD7" s="77">
        <f t="shared" ref="AD7:AF7" si="4">AC7+1</f>
        <v>45791</v>
      </c>
      <c r="AE7" s="77">
        <f t="shared" si="4"/>
        <v>45792</v>
      </c>
      <c r="AF7" s="77">
        <f t="shared" si="4"/>
        <v>45793</v>
      </c>
      <c r="AG7" s="77">
        <f>AG6</f>
        <v>45796</v>
      </c>
      <c r="AH7" s="77">
        <f>AG7+1</f>
        <v>45797</v>
      </c>
      <c r="AI7" s="77">
        <f t="shared" ref="AI7:AK7" si="5">AH7+1</f>
        <v>45798</v>
      </c>
      <c r="AJ7" s="77">
        <f t="shared" si="5"/>
        <v>45799</v>
      </c>
      <c r="AK7" s="77">
        <f t="shared" si="5"/>
        <v>45800</v>
      </c>
      <c r="AL7" s="77">
        <f>AL6</f>
        <v>45803</v>
      </c>
      <c r="AM7" s="77">
        <f>AL7+1</f>
        <v>45804</v>
      </c>
      <c r="AN7" s="77">
        <f t="shared" ref="AN7:AP7" si="6">AM7+1</f>
        <v>45805</v>
      </c>
      <c r="AO7" s="77">
        <f t="shared" si="6"/>
        <v>45806</v>
      </c>
      <c r="AP7" s="77">
        <f t="shared" si="6"/>
        <v>45807</v>
      </c>
      <c r="AQ7" s="77">
        <f>AQ6</f>
        <v>45810</v>
      </c>
      <c r="AR7" s="77">
        <f>AQ7+1</f>
        <v>45811</v>
      </c>
      <c r="AS7" s="77">
        <f t="shared" ref="AS7:AU7" si="7">AR7+1</f>
        <v>45812</v>
      </c>
      <c r="AT7" s="77">
        <f t="shared" si="7"/>
        <v>45813</v>
      </c>
      <c r="AU7" s="77">
        <f t="shared" si="7"/>
        <v>45814</v>
      </c>
      <c r="AV7" s="77">
        <f>AV6</f>
        <v>45817</v>
      </c>
      <c r="AW7" s="77">
        <f>AV7+1</f>
        <v>45818</v>
      </c>
      <c r="AX7" s="77">
        <f t="shared" ref="AX7:AZ7" si="8">AW7+1</f>
        <v>45819</v>
      </c>
      <c r="AY7" s="77">
        <f t="shared" si="8"/>
        <v>45820</v>
      </c>
      <c r="AZ7" s="77">
        <f t="shared" si="8"/>
        <v>45821</v>
      </c>
      <c r="BA7" s="77">
        <f>BA6</f>
        <v>45824</v>
      </c>
      <c r="BB7" s="77">
        <f>BA7+1</f>
        <v>45825</v>
      </c>
      <c r="BC7" s="77">
        <f t="shared" ref="BC7:BE7" si="9">BB7+1</f>
        <v>45826</v>
      </c>
      <c r="BD7" s="77">
        <f t="shared" si="9"/>
        <v>45827</v>
      </c>
      <c r="BE7" s="77">
        <f t="shared" si="9"/>
        <v>45828</v>
      </c>
      <c r="BF7" s="77">
        <f>BF6</f>
        <v>45831</v>
      </c>
      <c r="BG7" s="77">
        <f>BF7+1</f>
        <v>45832</v>
      </c>
      <c r="BH7" s="77">
        <f t="shared" ref="BH7:BJ7" si="10">BG7+1</f>
        <v>45833</v>
      </c>
      <c r="BI7" s="77">
        <f t="shared" si="10"/>
        <v>45834</v>
      </c>
      <c r="BJ7" s="77">
        <f t="shared" si="10"/>
        <v>45835</v>
      </c>
      <c r="BK7" s="77">
        <f>BK6</f>
        <v>45838</v>
      </c>
      <c r="BL7" s="77">
        <f>BK7+1</f>
        <v>45839</v>
      </c>
      <c r="BM7" s="77">
        <f t="shared" ref="BM7:BO7" si="11">BL7+1</f>
        <v>45840</v>
      </c>
      <c r="BN7" s="77">
        <f t="shared" si="11"/>
        <v>45841</v>
      </c>
      <c r="BO7" s="77">
        <f t="shared" si="11"/>
        <v>45842</v>
      </c>
      <c r="BP7" s="77">
        <f>BP6</f>
        <v>45845</v>
      </c>
      <c r="BQ7" s="77">
        <f>BP7+1</f>
        <v>45846</v>
      </c>
      <c r="BR7" s="77">
        <f t="shared" ref="BR7:BT7" si="12">BQ7+1</f>
        <v>45847</v>
      </c>
      <c r="BS7" s="77">
        <f t="shared" si="12"/>
        <v>45848</v>
      </c>
      <c r="BT7" s="77">
        <f t="shared" si="12"/>
        <v>45849</v>
      </c>
      <c r="BU7" s="77">
        <f>BU6</f>
        <v>45852</v>
      </c>
      <c r="BV7" s="77">
        <f>BU7+1</f>
        <v>45853</v>
      </c>
      <c r="BW7" s="77">
        <f t="shared" ref="BW7:BY7" si="13">BV7+1</f>
        <v>45854</v>
      </c>
      <c r="BX7" s="77">
        <f t="shared" si="13"/>
        <v>45855</v>
      </c>
      <c r="BY7" s="77">
        <f t="shared" si="13"/>
        <v>45856</v>
      </c>
      <c r="BZ7" s="78">
        <f>BZ6</f>
        <v>45859</v>
      </c>
      <c r="CA7" s="77">
        <f>BZ7+1</f>
        <v>45860</v>
      </c>
      <c r="CB7" s="77">
        <f t="shared" ref="CB7:CD7" si="14">CA7+1</f>
        <v>45861</v>
      </c>
      <c r="CC7" s="77">
        <f t="shared" si="14"/>
        <v>45862</v>
      </c>
      <c r="CD7" s="77">
        <f t="shared" si="14"/>
        <v>45863</v>
      </c>
      <c r="CE7" s="77">
        <f>CE6</f>
        <v>45866</v>
      </c>
      <c r="CF7" s="77">
        <f>CE7+1</f>
        <v>45867</v>
      </c>
      <c r="CG7" s="77">
        <f t="shared" ref="CG7:CI7" si="15">CF7+1</f>
        <v>45868</v>
      </c>
      <c r="CH7" s="77">
        <f t="shared" si="15"/>
        <v>45869</v>
      </c>
      <c r="CI7" s="77">
        <f t="shared" si="15"/>
        <v>45870</v>
      </c>
      <c r="CJ7" s="77">
        <f>CJ6</f>
        <v>45873</v>
      </c>
      <c r="CK7" s="77">
        <f>CJ7+1</f>
        <v>45874</v>
      </c>
      <c r="CL7" s="77">
        <f t="shared" ref="CL7:CN7" si="16">CK7+1</f>
        <v>45875</v>
      </c>
      <c r="CM7" s="77">
        <f t="shared" si="16"/>
        <v>45876</v>
      </c>
      <c r="CN7" s="77">
        <f t="shared" si="16"/>
        <v>45877</v>
      </c>
    </row>
    <row r="8" spans="1:92" ht="19.5" customHeight="1" x14ac:dyDescent="0.45">
      <c r="A8" s="79" t="s">
        <v>4</v>
      </c>
      <c r="B8" s="79" t="s">
        <v>5</v>
      </c>
      <c r="C8" s="79" t="s">
        <v>6</v>
      </c>
      <c r="D8" s="79" t="s">
        <v>7</v>
      </c>
      <c r="E8" s="79" t="s">
        <v>8</v>
      </c>
      <c r="F8" s="79" t="s">
        <v>7</v>
      </c>
      <c r="G8" s="79" t="s">
        <v>8</v>
      </c>
      <c r="H8" s="79" t="s">
        <v>9</v>
      </c>
      <c r="I8" s="79" t="s">
        <v>10</v>
      </c>
      <c r="J8" s="79" t="s">
        <v>11</v>
      </c>
      <c r="K8" s="79" t="s">
        <v>12</v>
      </c>
      <c r="L8" s="79" t="s">
        <v>13</v>
      </c>
      <c r="M8" s="79" t="s">
        <v>9</v>
      </c>
      <c r="N8" s="79" t="s">
        <v>10</v>
      </c>
      <c r="O8" s="79" t="s">
        <v>11</v>
      </c>
      <c r="P8" s="79" t="s">
        <v>12</v>
      </c>
      <c r="Q8" s="79" t="s">
        <v>13</v>
      </c>
      <c r="R8" s="79" t="s">
        <v>9</v>
      </c>
      <c r="S8" s="79" t="s">
        <v>10</v>
      </c>
      <c r="T8" s="79" t="s">
        <v>11</v>
      </c>
      <c r="U8" s="79" t="s">
        <v>12</v>
      </c>
      <c r="V8" s="79" t="s">
        <v>13</v>
      </c>
      <c r="W8" s="79" t="s">
        <v>9</v>
      </c>
      <c r="X8" s="79" t="s">
        <v>10</v>
      </c>
      <c r="Y8" s="79" t="s">
        <v>11</v>
      </c>
      <c r="Z8" s="79" t="s">
        <v>12</v>
      </c>
      <c r="AA8" s="79" t="s">
        <v>13</v>
      </c>
      <c r="AB8" s="79" t="s">
        <v>9</v>
      </c>
      <c r="AC8" s="79" t="s">
        <v>10</v>
      </c>
      <c r="AD8" s="79" t="s">
        <v>11</v>
      </c>
      <c r="AE8" s="79" t="s">
        <v>12</v>
      </c>
      <c r="AF8" s="79" t="s">
        <v>13</v>
      </c>
      <c r="AG8" s="79" t="s">
        <v>9</v>
      </c>
      <c r="AH8" s="79" t="s">
        <v>10</v>
      </c>
      <c r="AI8" s="79" t="s">
        <v>11</v>
      </c>
      <c r="AJ8" s="79" t="s">
        <v>12</v>
      </c>
      <c r="AK8" s="79" t="s">
        <v>13</v>
      </c>
      <c r="AL8" s="79" t="s">
        <v>9</v>
      </c>
      <c r="AM8" s="79" t="s">
        <v>10</v>
      </c>
      <c r="AN8" s="79" t="s">
        <v>11</v>
      </c>
      <c r="AO8" s="79" t="s">
        <v>12</v>
      </c>
      <c r="AP8" s="79" t="s">
        <v>13</v>
      </c>
      <c r="AQ8" s="79" t="s">
        <v>9</v>
      </c>
      <c r="AR8" s="79" t="s">
        <v>10</v>
      </c>
      <c r="AS8" s="79" t="s">
        <v>11</v>
      </c>
      <c r="AT8" s="79" t="s">
        <v>12</v>
      </c>
      <c r="AU8" s="79" t="s">
        <v>13</v>
      </c>
      <c r="AV8" s="79" t="s">
        <v>9</v>
      </c>
      <c r="AW8" s="79" t="s">
        <v>10</v>
      </c>
      <c r="AX8" s="79" t="s">
        <v>11</v>
      </c>
      <c r="AY8" s="79" t="s">
        <v>12</v>
      </c>
      <c r="AZ8" s="79" t="s">
        <v>13</v>
      </c>
      <c r="BA8" s="79" t="s">
        <v>9</v>
      </c>
      <c r="BB8" s="79" t="s">
        <v>10</v>
      </c>
      <c r="BC8" s="79" t="s">
        <v>11</v>
      </c>
      <c r="BD8" s="79" t="s">
        <v>12</v>
      </c>
      <c r="BE8" s="79" t="s">
        <v>13</v>
      </c>
      <c r="BF8" s="79" t="s">
        <v>9</v>
      </c>
      <c r="BG8" s="79" t="s">
        <v>10</v>
      </c>
      <c r="BH8" s="79" t="s">
        <v>11</v>
      </c>
      <c r="BI8" s="79" t="s">
        <v>12</v>
      </c>
      <c r="BJ8" s="79" t="s">
        <v>13</v>
      </c>
      <c r="BK8" s="79" t="s">
        <v>9</v>
      </c>
      <c r="BL8" s="79" t="s">
        <v>10</v>
      </c>
      <c r="BM8" s="79" t="s">
        <v>11</v>
      </c>
      <c r="BN8" s="79" t="s">
        <v>12</v>
      </c>
      <c r="BO8" s="79" t="s">
        <v>13</v>
      </c>
      <c r="BP8" s="79" t="s">
        <v>9</v>
      </c>
      <c r="BQ8" s="79" t="s">
        <v>10</v>
      </c>
      <c r="BR8" s="79" t="s">
        <v>11</v>
      </c>
      <c r="BS8" s="79" t="s">
        <v>12</v>
      </c>
      <c r="BT8" s="79" t="s">
        <v>13</v>
      </c>
      <c r="BU8" s="79" t="s">
        <v>9</v>
      </c>
      <c r="BV8" s="79" t="s">
        <v>10</v>
      </c>
      <c r="BW8" s="79" t="s">
        <v>11</v>
      </c>
      <c r="BX8" s="79" t="s">
        <v>12</v>
      </c>
      <c r="BY8" s="79" t="s">
        <v>13</v>
      </c>
      <c r="BZ8" s="79" t="s">
        <v>9</v>
      </c>
      <c r="CA8" s="79" t="s">
        <v>10</v>
      </c>
      <c r="CB8" s="79" t="s">
        <v>11</v>
      </c>
      <c r="CC8" s="79" t="s">
        <v>12</v>
      </c>
      <c r="CD8" s="79" t="s">
        <v>13</v>
      </c>
      <c r="CE8" s="79" t="s">
        <v>9</v>
      </c>
      <c r="CF8" s="79" t="s">
        <v>10</v>
      </c>
      <c r="CG8" s="79" t="s">
        <v>11</v>
      </c>
      <c r="CH8" s="79" t="s">
        <v>12</v>
      </c>
      <c r="CI8" s="79" t="s">
        <v>13</v>
      </c>
      <c r="CJ8" s="79" t="s">
        <v>9</v>
      </c>
      <c r="CK8" s="79" t="s">
        <v>10</v>
      </c>
      <c r="CL8" s="79" t="s">
        <v>11</v>
      </c>
      <c r="CM8" s="79" t="s">
        <v>12</v>
      </c>
      <c r="CN8" s="79" t="s">
        <v>13</v>
      </c>
    </row>
    <row r="9" spans="1:92" ht="24" customHeight="1" x14ac:dyDescent="0.45">
      <c r="A9" s="1" t="s">
        <v>18</v>
      </c>
      <c r="B9" s="2" t="s">
        <v>19</v>
      </c>
      <c r="C9" s="12">
        <v>40</v>
      </c>
      <c r="D9" s="8">
        <v>45761</v>
      </c>
      <c r="E9" s="8">
        <v>45777</v>
      </c>
      <c r="F9" s="8">
        <v>45761</v>
      </c>
      <c r="G9" s="8"/>
      <c r="H9" s="100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1"/>
      <c r="V9" s="101"/>
      <c r="W9" s="101"/>
      <c r="X9" s="101"/>
      <c r="Y9" s="5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2"/>
    </row>
    <row r="10" spans="1:92" ht="24" customHeight="1" x14ac:dyDescent="0.45">
      <c r="A10" s="3" t="s">
        <v>20</v>
      </c>
      <c r="B10" s="4" t="s">
        <v>21</v>
      </c>
      <c r="C10" s="13">
        <v>100</v>
      </c>
      <c r="D10" s="9">
        <v>45761</v>
      </c>
      <c r="E10" s="9">
        <v>45763</v>
      </c>
      <c r="F10" s="9">
        <v>45761</v>
      </c>
      <c r="G10" s="9">
        <v>45763</v>
      </c>
      <c r="H10" s="102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8"/>
    </row>
    <row r="11" spans="1:92" ht="24" customHeight="1" x14ac:dyDescent="0.45">
      <c r="A11" s="3" t="s">
        <v>22</v>
      </c>
      <c r="B11" s="4" t="s">
        <v>23</v>
      </c>
      <c r="C11" s="13">
        <v>100</v>
      </c>
      <c r="D11" s="9">
        <v>45764</v>
      </c>
      <c r="E11" s="9">
        <v>45766</v>
      </c>
      <c r="F11" s="9">
        <v>45764</v>
      </c>
      <c r="G11" s="9">
        <v>45769</v>
      </c>
      <c r="H11" s="6"/>
      <c r="I11" s="7"/>
      <c r="J11" s="7"/>
      <c r="K11" s="11"/>
      <c r="L11" s="11"/>
      <c r="M11" s="11"/>
      <c r="N11" s="11"/>
      <c r="O11" s="7"/>
      <c r="P11" s="7"/>
      <c r="Q11" s="7"/>
      <c r="R11" s="7"/>
      <c r="S11" s="7"/>
      <c r="T11" s="7"/>
      <c r="U11" s="7"/>
      <c r="V11" s="7"/>
      <c r="W11" s="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8"/>
    </row>
    <row r="12" spans="1:92" ht="24" customHeight="1" x14ac:dyDescent="0.45">
      <c r="A12" s="3" t="s">
        <v>24</v>
      </c>
      <c r="B12" s="4" t="s">
        <v>25</v>
      </c>
      <c r="C12" s="13">
        <v>35</v>
      </c>
      <c r="D12" s="9">
        <v>45769</v>
      </c>
      <c r="E12" s="9">
        <v>45771</v>
      </c>
      <c r="F12" s="9">
        <v>45769</v>
      </c>
      <c r="G12" s="9"/>
      <c r="H12" s="6"/>
      <c r="I12" s="7"/>
      <c r="J12" s="7"/>
      <c r="K12" s="7"/>
      <c r="L12" s="7"/>
      <c r="M12" s="7"/>
      <c r="N12" s="11"/>
      <c r="O12" s="10"/>
      <c r="P12" s="10"/>
      <c r="Q12" s="7"/>
      <c r="R12" s="7"/>
      <c r="S12" s="7"/>
      <c r="T12" s="7"/>
      <c r="U12" s="7"/>
      <c r="V12" s="7"/>
      <c r="W12" s="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8"/>
    </row>
    <row r="13" spans="1:92" ht="24" customHeight="1" x14ac:dyDescent="0.45">
      <c r="A13" s="3" t="s">
        <v>26</v>
      </c>
      <c r="B13" s="4" t="s">
        <v>25</v>
      </c>
      <c r="C13" s="13"/>
      <c r="D13" s="9">
        <v>45769</v>
      </c>
      <c r="E13" s="9">
        <v>45773</v>
      </c>
      <c r="F13" s="9"/>
      <c r="G13" s="9"/>
      <c r="H13" s="6"/>
      <c r="I13" s="7"/>
      <c r="J13" s="7"/>
      <c r="K13" s="7"/>
      <c r="L13" s="7"/>
      <c r="M13" s="7"/>
      <c r="N13" s="10"/>
      <c r="O13" s="10"/>
      <c r="P13" s="10"/>
      <c r="Q13" s="10"/>
      <c r="R13" s="10"/>
      <c r="S13" s="7"/>
      <c r="T13" s="7"/>
      <c r="U13" s="7"/>
      <c r="V13" s="7"/>
      <c r="W13" s="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8"/>
    </row>
    <row r="14" spans="1:92" ht="24" customHeight="1" x14ac:dyDescent="0.45">
      <c r="A14" s="3" t="s">
        <v>27</v>
      </c>
      <c r="B14" s="4" t="s">
        <v>19</v>
      </c>
      <c r="C14" s="13"/>
      <c r="D14" s="9">
        <v>45772</v>
      </c>
      <c r="E14" s="9">
        <v>45777</v>
      </c>
      <c r="F14" s="9"/>
      <c r="G14" s="9"/>
      <c r="H14" s="6"/>
      <c r="I14" s="7"/>
      <c r="J14" s="7"/>
      <c r="K14" s="7"/>
      <c r="L14" s="7"/>
      <c r="M14" s="7"/>
      <c r="N14" s="7"/>
      <c r="O14" s="7"/>
      <c r="P14" s="7"/>
      <c r="Q14" s="10"/>
      <c r="R14" s="10"/>
      <c r="S14" s="10"/>
      <c r="T14" s="10"/>
      <c r="U14" s="7"/>
      <c r="V14" s="7"/>
      <c r="W14" s="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8"/>
    </row>
    <row r="15" spans="1:92" ht="24" customHeight="1" x14ac:dyDescent="0.45">
      <c r="A15" s="29" t="s">
        <v>28</v>
      </c>
      <c r="B15" s="30"/>
      <c r="C15" s="31"/>
      <c r="D15" s="32"/>
      <c r="E15" s="32"/>
      <c r="F15" s="32"/>
      <c r="G15" s="32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5"/>
    </row>
    <row r="16" spans="1:92" ht="24" customHeight="1" x14ac:dyDescent="0.45">
      <c r="A16" s="72" t="s">
        <v>29</v>
      </c>
      <c r="B16" s="36"/>
      <c r="C16" s="37"/>
      <c r="D16" s="38"/>
      <c r="E16" s="38"/>
      <c r="F16" s="38"/>
      <c r="G16" s="38"/>
      <c r="H16" s="39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1"/>
    </row>
    <row r="17" spans="1:92" ht="24" customHeight="1" x14ac:dyDescent="0.45">
      <c r="A17" s="72" t="s">
        <v>30</v>
      </c>
      <c r="B17" s="36"/>
      <c r="C17" s="37"/>
      <c r="D17" s="38"/>
      <c r="E17" s="38"/>
      <c r="F17" s="38"/>
      <c r="G17" s="38"/>
      <c r="H17" s="39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1"/>
    </row>
    <row r="18" spans="1:92" ht="24" customHeight="1" x14ac:dyDescent="0.45">
      <c r="A18" s="72" t="s">
        <v>31</v>
      </c>
      <c r="B18" s="36"/>
      <c r="C18" s="37"/>
      <c r="D18" s="38"/>
      <c r="E18" s="38"/>
      <c r="F18" s="38"/>
      <c r="G18" s="38"/>
      <c r="H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1"/>
    </row>
    <row r="19" spans="1:92" ht="24" customHeight="1" x14ac:dyDescent="0.45">
      <c r="A19" s="72" t="s">
        <v>32</v>
      </c>
      <c r="B19" s="36"/>
      <c r="C19" s="37"/>
      <c r="D19" s="38"/>
      <c r="E19" s="38"/>
      <c r="F19" s="38"/>
      <c r="G19" s="38"/>
      <c r="H19" s="39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1"/>
    </row>
    <row r="20" spans="1:92" ht="24" customHeight="1" x14ac:dyDescent="0.45">
      <c r="A20" s="72" t="s">
        <v>33</v>
      </c>
      <c r="B20" s="36"/>
      <c r="C20" s="37"/>
      <c r="D20" s="38"/>
      <c r="E20" s="38"/>
      <c r="F20" s="38"/>
      <c r="G20" s="38"/>
      <c r="H20" s="39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1"/>
    </row>
    <row r="21" spans="1:92" ht="24" customHeight="1" x14ac:dyDescent="0.45">
      <c r="A21" s="42" t="s">
        <v>34</v>
      </c>
      <c r="B21" s="43"/>
      <c r="C21" s="44"/>
      <c r="D21" s="45"/>
      <c r="E21" s="45"/>
      <c r="F21" s="45"/>
      <c r="G21" s="45"/>
      <c r="H21" s="46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8"/>
    </row>
    <row r="22" spans="1:92" ht="24" customHeight="1" x14ac:dyDescent="0.45">
      <c r="A22" s="73" t="s">
        <v>29</v>
      </c>
      <c r="B22" s="49"/>
      <c r="C22" s="50"/>
      <c r="D22" s="51"/>
      <c r="E22" s="51"/>
      <c r="F22" s="51"/>
      <c r="G22" s="51"/>
      <c r="H22" s="52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4"/>
    </row>
    <row r="23" spans="1:92" ht="24" customHeight="1" x14ac:dyDescent="0.45">
      <c r="A23" s="73" t="s">
        <v>30</v>
      </c>
      <c r="B23" s="49"/>
      <c r="C23" s="50"/>
      <c r="D23" s="51"/>
      <c r="E23" s="51"/>
      <c r="F23" s="51"/>
      <c r="G23" s="51"/>
      <c r="H23" s="5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4"/>
    </row>
    <row r="24" spans="1:92" ht="24" customHeight="1" x14ac:dyDescent="0.45">
      <c r="A24" s="73" t="s">
        <v>31</v>
      </c>
      <c r="B24" s="49"/>
      <c r="C24" s="50"/>
      <c r="D24" s="51"/>
      <c r="E24" s="51"/>
      <c r="F24" s="51"/>
      <c r="G24" s="51"/>
      <c r="H24" s="5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4"/>
    </row>
    <row r="25" spans="1:92" ht="24" customHeight="1" x14ac:dyDescent="0.45">
      <c r="A25" s="73" t="s">
        <v>32</v>
      </c>
      <c r="B25" s="49"/>
      <c r="C25" s="50"/>
      <c r="D25" s="51"/>
      <c r="E25" s="51"/>
      <c r="F25" s="51"/>
      <c r="G25" s="51"/>
      <c r="H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4"/>
    </row>
    <row r="26" spans="1:92" ht="24" customHeight="1" x14ac:dyDescent="0.45">
      <c r="A26" s="73" t="s">
        <v>33</v>
      </c>
      <c r="B26" s="49"/>
      <c r="C26" s="50"/>
      <c r="D26" s="51"/>
      <c r="E26" s="51"/>
      <c r="F26" s="51"/>
      <c r="G26" s="51"/>
      <c r="H26" s="5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4"/>
    </row>
    <row r="27" spans="1:92" ht="24" customHeight="1" x14ac:dyDescent="0.45">
      <c r="A27" s="55" t="s">
        <v>35</v>
      </c>
      <c r="B27" s="56"/>
      <c r="C27" s="57"/>
      <c r="D27" s="58"/>
      <c r="E27" s="58"/>
      <c r="F27" s="58"/>
      <c r="G27" s="58"/>
      <c r="H27" s="59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1"/>
    </row>
    <row r="28" spans="1:92" ht="24" customHeight="1" x14ac:dyDescent="0.45">
      <c r="A28" s="74" t="s">
        <v>29</v>
      </c>
      <c r="B28" s="62"/>
      <c r="C28" s="63"/>
      <c r="D28" s="64"/>
      <c r="E28" s="64"/>
      <c r="F28" s="64"/>
      <c r="G28" s="64"/>
      <c r="H28" s="65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7"/>
    </row>
    <row r="29" spans="1:92" ht="24" customHeight="1" x14ac:dyDescent="0.45">
      <c r="A29" s="74" t="s">
        <v>30</v>
      </c>
      <c r="B29" s="62"/>
      <c r="C29" s="63"/>
      <c r="D29" s="64"/>
      <c r="E29" s="64"/>
      <c r="F29" s="64"/>
      <c r="G29" s="64"/>
      <c r="H29" s="65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7"/>
    </row>
    <row r="30" spans="1:92" ht="24" customHeight="1" x14ac:dyDescent="0.45">
      <c r="A30" s="74" t="s">
        <v>31</v>
      </c>
      <c r="B30" s="62"/>
      <c r="C30" s="63"/>
      <c r="D30" s="64"/>
      <c r="E30" s="64"/>
      <c r="F30" s="64"/>
      <c r="G30" s="64"/>
      <c r="H30" s="65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7"/>
    </row>
    <row r="31" spans="1:92" ht="24" customHeight="1" x14ac:dyDescent="0.45">
      <c r="A31" s="74" t="s">
        <v>32</v>
      </c>
      <c r="B31" s="62"/>
      <c r="C31" s="63"/>
      <c r="D31" s="64"/>
      <c r="E31" s="64"/>
      <c r="F31" s="64"/>
      <c r="G31" s="64"/>
      <c r="H31" s="65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7"/>
    </row>
    <row r="32" spans="1:92" ht="24" customHeight="1" x14ac:dyDescent="0.45">
      <c r="A32" s="74" t="s">
        <v>33</v>
      </c>
      <c r="B32" s="62"/>
      <c r="C32" s="63"/>
      <c r="D32" s="64"/>
      <c r="E32" s="64"/>
      <c r="F32" s="64"/>
      <c r="G32" s="64"/>
      <c r="H32" s="65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7"/>
    </row>
    <row r="33" spans="1:92" ht="24" customHeight="1" x14ac:dyDescent="0.45"/>
    <row r="34" spans="1:92" ht="24" customHeight="1" x14ac:dyDescent="0.45">
      <c r="A34" s="68" t="s">
        <v>14</v>
      </c>
      <c r="B34" s="69"/>
      <c r="C34" s="70"/>
      <c r="D34" s="70"/>
      <c r="E34" s="70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</row>
    <row r="35" spans="1:92" ht="24" customHeight="1" x14ac:dyDescent="0.45"/>
    <row r="36" spans="1:92" ht="24" customHeight="1" x14ac:dyDescent="0.45"/>
    <row r="37" spans="1:92" ht="24" customHeight="1" x14ac:dyDescent="0.45"/>
    <row r="38" spans="1:92" ht="24" customHeight="1" x14ac:dyDescent="0.45"/>
  </sheetData>
  <sheetProtection insertRows="0"/>
  <mergeCells count="28"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</mergeCells>
  <phoneticPr fontId="19"/>
  <conditionalFormatting sqref="F15:G32">
    <cfRule type="expression" dxfId="4" priority="8">
      <formula>D15&lt;F15</formula>
    </cfRule>
  </conditionalFormatting>
  <conditionalFormatting sqref="G9">
    <cfRule type="expression" dxfId="3" priority="2">
      <formula>E9&lt;G9</formula>
    </cfRule>
  </conditionalFormatting>
  <conditionalFormatting sqref="F9">
    <cfRule type="expression" dxfId="2" priority="1">
      <formula>D9&lt;F9</formula>
    </cfRule>
  </conditionalFormatting>
  <conditionalFormatting sqref="G10:G14">
    <cfRule type="expression" dxfId="1" priority="4">
      <formula>E10&lt;G10</formula>
    </cfRule>
  </conditionalFormatting>
  <conditionalFormatting sqref="F10:F14">
    <cfRule type="expression" dxfId="0" priority="3">
      <formula>D10&lt;F10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6FCD32-0857-4D4D-96CB-BC4A6CBBB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3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制作進捗確認表</vt:lpstr>
      <vt:lpstr>進捗確認表_記入例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2026-05-13T04:33:23Z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